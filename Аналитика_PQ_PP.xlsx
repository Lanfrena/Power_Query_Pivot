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6E42E7-2BBB-4152-AE4D-1FFFE65B4160}" xr6:coauthVersionLast="47" xr6:coauthVersionMax="47" xr10:uidLastSave="{00000000-0000-0000-0000-000000000000}"/>
  <bookViews>
    <workbookView xWindow="-120" yWindow="-120" windowWidth="29040" windowHeight="15840" firstSheet="1" activeTab="3" xr2:uid="{DC6AA24D-530C-489B-AE55-FBD7A643162B}"/>
  </bookViews>
  <sheets>
    <sheet name="плоская_сводная" sheetId="7" r:id="rId1"/>
    <sheet name="сводная_диаграмма_таблица" sheetId="6" r:id="rId2"/>
    <sheet name="Диаграмма_П_Ф" sheetId="9" r:id="rId3"/>
    <sheet name="сводная_таблица" sheetId="5" r:id="rId4"/>
    <sheet name="план продаж" sheetId="2" r:id="rId5"/>
    <sheet name="факт продаж" sheetId="3" r:id="rId6"/>
    <sheet name="справочник брендов" sheetId="4" r:id="rId7"/>
  </sheets>
  <definedNames>
    <definedName name="_xlcn.WorksheetConnection_Решение_Шишкова_Н_07.11.25.xlsxплан_продаж1" hidden="1">план_продаж[]</definedName>
    <definedName name="_xlcn.WorksheetConnection_Решение_Шишкова_Н_07.11.25.xlsxфакт_продаж1" hidden="1">факт_продаж[]</definedName>
    <definedName name="ExternalData_2" localSheetId="4" hidden="1">'план продаж'!$A$1:$D$25</definedName>
    <definedName name="ExternalData_3" localSheetId="6" hidden="1">'справочник брендов'!$A$1:$A$3</definedName>
    <definedName name="ExternalData_3" localSheetId="5" hidden="1">'факт продаж'!$A$1:$J$25</definedName>
  </definedNames>
  <calcPr calcId="191029"/>
  <pivotCaches>
    <pivotCache cacheId="87" r:id="rId8"/>
    <pivotCache cacheId="90" r:id="rId9"/>
    <pivotCache cacheId="93" r:id="rId10"/>
  </pivotCaches>
  <extLst>
    <ext xmlns:x15="http://schemas.microsoft.com/office/spreadsheetml/2010/11/main" uri="{841E416B-1EF1-43b6-AB56-02D37102CBD5}">
      <x15:pivotCaches>
        <pivotCache cacheId="96" r:id="rId11"/>
        <pivotCache cacheId="159" r:id="rId12"/>
      </x15:pivotCaches>
    </ext>
    <ext xmlns:x15="http://schemas.microsoft.com/office/spreadsheetml/2010/11/main" uri="{983426D0-5260-488c-9760-48F4B6AC55F4}">
      <x15:pivotTableReferences>
        <x15:pivotTableReference r:id="rId13"/>
        <x15:pivotTableReference r:id="rId1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правочник брендов_0583a6c1-bd1f-4687-b331-3db07572abda" name="справочник брендов" connection="Запрос — справочник брендов"/>
          <x15:modelTable id="Calendar" name="Calendar" connection="Подключение"/>
          <x15:modelTable id="факт_продаж" name="факт_продаж" connection="WorksheetConnection_Решение_Шишкова_Н_07.11.25.xlsx!факт_продаж"/>
          <x15:modelTable id="план_продаж" name="план_продаж" connection="WorksheetConnection_Решение_Шишкова_Н_07.11.25.xlsx!план_продаж"/>
        </x15:modelTables>
        <x15:modelRelationships>
          <x15:modelRelationship fromTable="факт_продаж" fromColumn="Дата" toTable="Calendar" toColumn="Date"/>
          <x15:modelRelationship fromTable="факт_продаж" fromColumn="Бренд" toTable="справочник брендов" toColumn="Бренд"/>
          <x15:modelRelationship fromTable="план_продаж" fromColumn="Дата" toTable="Calendar" toColumn="Date"/>
          <x15:modelRelationship fromTable="план_продаж" fromColumn="Бренд" toTable="справочник брендов" toColumn="Бренд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факт_продаж" columnName="Дата" columnId="Дата">
                <x16:calculatedTimeColumn columnName="Дата (Индекс месяца)" columnId="Дата (Индекс месяца)" contentType="monthsindex" isSelected="1"/>
                <x16:calculatedTimeColumn columnName="Дата (Месяц)1" columnId="Дата (Месяц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76142-65A9-464C-8ED4-51967059C2BB}" keepAlive="1" name="ModelConnection_ExternalData_3" description="Модель данных" type="5" refreshedVersion="8" minRefreshableVersion="5" saveData="1">
    <dbPr connection="Data Model Connection" command="справочник брендов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DA38AE8-85C2-4CD6-96FC-CC865CDCE717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172BA14-52F9-48CC-B7B0-B76D26828636}" name="WorksheetConnection_Решение_Шишкова_Н_07.11.25.xlsx!план_продаж" type="102" refreshedVersion="8" minRefreshableVersion="5">
    <extLst>
      <ext xmlns:x15="http://schemas.microsoft.com/office/spreadsheetml/2010/11/main" uri="{DE250136-89BD-433C-8126-D09CA5730AF9}">
        <x15:connection id="план_продаж">
          <x15:rangePr sourceName="_xlcn.WorksheetConnection_Решение_Шишкова_Н_07.11.25.xlsxплан_продаж1"/>
        </x15:connection>
      </ext>
    </extLst>
  </connection>
  <connection id="4" xr16:uid="{A4C8BF39-1530-43F9-A851-BD6182A915E6}" name="WorksheetConnection_Решение_Шишкова_Н_07.11.25.xlsx!факт_продаж" type="102" refreshedVersion="8" minRefreshableVersion="5">
    <extLst>
      <ext xmlns:x15="http://schemas.microsoft.com/office/spreadsheetml/2010/11/main" uri="{DE250136-89BD-433C-8126-D09CA5730AF9}">
        <x15:connection id="факт_продаж">
          <x15:rangePr sourceName="_xlcn.WorksheetConnection_Решение_Шишкова_Н_07.11.25.xlsxфакт_продаж1"/>
        </x15:connection>
      </ext>
    </extLst>
  </connection>
  <connection id="5" xr16:uid="{ED7FE58B-CF2A-4377-B4B2-D3C82800A72F}" keepAlive="1" name="Запрос — план продаж" description="Соединение с запросом &quot;план продаж&quot; в книге." type="5" refreshedVersion="8" background="1" saveData="1">
    <dbPr connection="Provider=Microsoft.Mashup.OleDb.1;Data Source=$Workbook$;Location=&quot;план продаж&quot;;Extended Properties=&quot;&quot;" command="SELECT * FROM [план продаж]"/>
  </connection>
  <connection id="6" xr16:uid="{183261A4-0077-4724-AF6B-B6135B626B33}" name="Запрос — справочник брендов" description="Соединение с запросом &quot;справочник брендов&quot; в книге." type="100" refreshedVersion="8" minRefreshableVersion="5">
    <extLst>
      <ext xmlns:x15="http://schemas.microsoft.com/office/spreadsheetml/2010/11/main" uri="{DE250136-89BD-433C-8126-D09CA5730AF9}">
        <x15:connection id="529bbf02-2ad0-4055-b129-3e070fe7c082"/>
      </ext>
    </extLst>
  </connection>
  <connection id="7" xr16:uid="{298A1F46-4999-4F3A-B87B-13CAB4BB69DE}" keepAlive="1" name="Запрос — факт продаж" description="Соединение с запросом &quot;факт продаж&quot; в книге." type="5" refreshedVersion="8" background="1" saveData="1">
    <dbPr connection="Provider=Microsoft.Mashup.OleDb.1;Data Source=$Workbook$;Location=&quot;факт продаж&quot;;Extended Properties=&quot;&quot;" command="SELECT * FROM [факт продаж]"/>
  </connection>
  <connection id="8" xr16:uid="{1A7404BE-FC1C-438E-A7CB-BAE3F13ACC6F}" name="Подключение" type="104" refreshedVersion="0" background="1">
    <extLst>
      <ext xmlns:x15="http://schemas.microsoft.com/office/spreadsheetml/2010/11/main" uri="{DE250136-89BD-433C-8126-D09CA5730AF9}">
        <x15:connection id="Calendar"/>
      </ext>
    </extLst>
  </connection>
</connections>
</file>

<file path=xl/sharedStrings.xml><?xml version="1.0" encoding="utf-8"?>
<sst xmlns="http://schemas.openxmlformats.org/spreadsheetml/2006/main" count="152" uniqueCount="35">
  <si>
    <t>Бренд</t>
  </si>
  <si>
    <t>Бренд1</t>
  </si>
  <si>
    <t>Бренд2</t>
  </si>
  <si>
    <t>Количество</t>
  </si>
  <si>
    <t>Сумма продажи в USD</t>
  </si>
  <si>
    <t>Стоимость, руб.</t>
  </si>
  <si>
    <t>Себестоимость USD</t>
  </si>
  <si>
    <t>Маржинальный доход в USD</t>
  </si>
  <si>
    <t>Цена продажи в USD</t>
  </si>
  <si>
    <t>Товарная группа1</t>
  </si>
  <si>
    <t>Дата</t>
  </si>
  <si>
    <t>Товарная группа</t>
  </si>
  <si>
    <t>Названия строк</t>
  </si>
  <si>
    <t>Общий итог</t>
  </si>
  <si>
    <t>Валовая маржинальная прибыль (USD)</t>
  </si>
  <si>
    <t>Факт продаж Товарной группы1 за август 2022 (кол-во)</t>
  </si>
  <si>
    <t>Month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</si>
  <si>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</si>
  <si>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</si>
  <si>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</si>
  <si>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</si>
  <si>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</si>
  <si>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</si>
  <si>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</si>
  <si>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</si>
  <si>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</si>
  <si>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</si>
  <si>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</si>
  <si>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</si>
  <si>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Выручка (USD)</t>
  </si>
  <si>
    <t>Курс $ (среднее)</t>
  </si>
  <si>
    <t>Значения</t>
  </si>
  <si>
    <t>Количество_План</t>
  </si>
  <si>
    <t>Количество_Факт</t>
  </si>
  <si>
    <t>% выполнения П_Ф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</si>
</sst>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\$#,##0.00;\(\$#,##0.00\);\$#,##0.00"/>
    <numFmt numFmtId="166" formatCode="0.00%;\-0.00%;0.00%"/>
    <numFmt numFmtId="167" formatCode="#,##0.00\ &quot;₽&quot;;\-#,##0.00\ &quot;₽&quot;;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/>
    <xf numFmtId="167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Обычный" xfId="0" builtinId="0"/>
  </cellStyles>
  <dxfs count="64">
    <dxf>
      <alignment wrapText="1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wrapText="1"/>
    </dxf>
    <dxf>
      <alignment horizontal="right"/>
    </dxf>
    <dxf>
      <alignment wrapText="1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wrapText="1"/>
    </dxf>
    <dxf>
      <alignment horizontal="right"/>
    </dxf>
    <dxf>
      <alignment vertical="center"/>
    </dxf>
    <dxf>
      <alignment wrapText="1"/>
    </dxf>
    <dxf>
      <alignment horizontal="right"/>
    </dxf>
    <dxf>
      <alignment wrapText="1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right"/>
    </dxf>
    <dxf>
      <alignment horizontal="right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" defaultPivotStyle="PivotStyleLight16">
    <tableStyle name="Плоский стиль сводного представления" table="0" count="3" xr9:uid="{929EA598-1581-4949-875F-0EEF10CD85C8}">
      <tableStyleElement type="headerRow" dxfId="63"/>
      <tableStyleElement type="totalRow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Table" Target="pivotTables/pivotTable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Table" Target="pivotTables/pivotTable2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План-факт продаж за </a:t>
            </a:r>
            <a:r>
              <a:rPr lang="ru-RU" baseline="0"/>
              <a:t>2022 год</a:t>
            </a:r>
            <a:endParaRPr lang="ru-RU"/>
          </a:p>
        </c:rich>
      </c:tx>
      <c:layout>
        <c:manualLayout>
          <c:xMode val="edge"/>
          <c:yMode val="edge"/>
          <c:x val="0.54313127127051708"/>
          <c:y val="2.0828031579263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4445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50844282508889"/>
          <c:y val="0.10856973195857963"/>
          <c:w val="0.703161195465137"/>
          <c:h val="0.70472921309024883"/>
        </c:manualLayout>
      </c:layout>
      <c:barChart>
        <c:barDir val="bar"/>
        <c:grouping val="clustered"/>
        <c:varyColors val="0"/>
        <c:ser>
          <c:idx val="0"/>
          <c:order val="0"/>
          <c:tx>
            <c:v>Количество_План</c:v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#,##0.00</c:formatCode>
              <c:ptCount val="12"/>
              <c:pt idx="0">
                <c:v>16721.166538705002</c:v>
              </c:pt>
              <c:pt idx="1">
                <c:v>18908.555375471034</c:v>
              </c:pt>
              <c:pt idx="2">
                <c:v>22906.825722862832</c:v>
              </c:pt>
              <c:pt idx="3">
                <c:v>24885.477862793228</c:v>
              </c:pt>
              <c:pt idx="4">
                <c:v>22807.908412408255</c:v>
              </c:pt>
              <c:pt idx="5">
                <c:v>26104.220703989653</c:v>
              </c:pt>
              <c:pt idx="6">
                <c:v>26981.274221276013</c:v>
              </c:pt>
              <c:pt idx="7">
                <c:v>29968.608011399996</c:v>
              </c:pt>
              <c:pt idx="8">
                <c:v>30560.865616547788</c:v>
              </c:pt>
              <c:pt idx="9">
                <c:v>32275.372298838825</c:v>
              </c:pt>
              <c:pt idx="10">
                <c:v>34432.391405692048</c:v>
              </c:pt>
              <c:pt idx="11">
                <c:v>34831.405451830353</c:v>
              </c:pt>
            </c:numLit>
          </c:val>
          <c:extLst>
            <c:ext xmlns:c16="http://schemas.microsoft.com/office/drawing/2014/chart" uri="{C3380CC4-5D6E-409C-BE32-E72D297353CC}">
              <c16:uniqueId val="{0000000D-6725-49FA-9C19-739F8E53CE5B}"/>
            </c:ext>
          </c:extLst>
        </c:ser>
        <c:ser>
          <c:idx val="1"/>
          <c:order val="1"/>
          <c:tx>
            <c:v>Количество_Факт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4445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#,##0.00</c:formatCode>
              <c:ptCount val="12"/>
              <c:pt idx="0">
                <c:v>5947.44</c:v>
              </c:pt>
              <c:pt idx="1">
                <c:v>7811.5389999999998</c:v>
              </c:pt>
              <c:pt idx="2">
                <c:v>12564.18</c:v>
              </c:pt>
              <c:pt idx="3">
                <c:v>9745.2070000000003</c:v>
              </c:pt>
              <c:pt idx="4">
                <c:v>9048.3590000000004</c:v>
              </c:pt>
              <c:pt idx="5">
                <c:v>10038.646000000001</c:v>
              </c:pt>
              <c:pt idx="6">
                <c:v>9973.4050000000007</c:v>
              </c:pt>
              <c:pt idx="7">
                <c:v>10853.49</c:v>
              </c:pt>
              <c:pt idx="8">
                <c:v>9737.9279999999999</c:v>
              </c:pt>
              <c:pt idx="9">
                <c:v>10502.76</c:v>
              </c:pt>
              <c:pt idx="10">
                <c:v>11720.745000000001</c:v>
              </c:pt>
              <c:pt idx="11">
                <c:v>12189.3</c:v>
              </c:pt>
            </c:numLit>
          </c:val>
          <c:extLst>
            <c:ext xmlns:c16="http://schemas.microsoft.com/office/drawing/2014/chart" uri="{C3380CC4-5D6E-409C-BE32-E72D297353CC}">
              <c16:uniqueId val="{0000000E-6725-49FA-9C19-739F8E53C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9612912"/>
        <c:axId val="109622512"/>
      </c:barChart>
      <c:catAx>
        <c:axId val="1096129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2251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96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12912"/>
        <c:crosses val="autoZero"/>
        <c:crossBetween val="between"/>
        <c:extLst>
          <c:ext xmlns:c15="http://schemas.microsoft.com/office/drawing/2012/chart" uri="{F40574EE-89B7-4290-83BB-5DA773EAF853}">
            <c15:numFmt c:formatCode="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5="http://schemas.microsoft.com/office/drawing/2012/chart" uri="{723BEF56-08C2-4564-9609-F4CBC75E7E54}">
      <c15:pivotSource>
        <c15:name>[Аналитика_PQ_PP.xlsx]PivotChartTable1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4445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lumMod val="7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Бренд1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0.00%;\-0.00%;0.00%</c:formatCode>
              <c:ptCount val="12"/>
              <c:pt idx="0">
                <c:v>0.35350374800343959</c:v>
              </c:pt>
              <c:pt idx="1">
                <c:v>0.41269827179267982</c:v>
              </c:pt>
              <c:pt idx="2">
                <c:v>0.5665137726672318</c:v>
              </c:pt>
              <c:pt idx="3">
                <c:v>0.40072047707144381</c:v>
              </c:pt>
              <c:pt idx="4">
                <c:v>0.40468029729145744</c:v>
              </c:pt>
              <c:pt idx="5">
                <c:v>0.38765543800988556</c:v>
              </c:pt>
              <c:pt idx="6">
                <c:v>0.37079999879138115</c:v>
              </c:pt>
              <c:pt idx="7">
                <c:v>0.3615724502948558</c:v>
              </c:pt>
              <c:pt idx="8">
                <c:v>0.31360785629390747</c:v>
              </c:pt>
              <c:pt idx="9">
                <c:v>0.31841684803160536</c:v>
              </c:pt>
              <c:pt idx="10">
                <c:v>0.33961097411438895</c:v>
              </c:pt>
              <c:pt idx="11">
                <c:v>0.35383938259368791</c:v>
              </c:pt>
            </c:numLit>
          </c:val>
          <c:extLst>
            <c:ext xmlns:c16="http://schemas.microsoft.com/office/drawing/2014/chart" uri="{C3380CC4-5D6E-409C-BE32-E72D297353CC}">
              <c16:uniqueId val="{00000009-D7EF-4C51-A2AE-5643941F4010}"/>
            </c:ext>
          </c:extLst>
        </c:ser>
        <c:ser>
          <c:idx val="1"/>
          <c:order val="1"/>
          <c:tx>
            <c:v>Бренд2</c:v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4445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0.00%;\-0.00%;0.00%</c:formatCode>
              <c:ptCount val="12"/>
              <c:pt idx="0">
                <c:v>0.3862281354390098</c:v>
              </c:pt>
              <c:pt idx="1">
                <c:v>0.41886032931908779</c:v>
              </c:pt>
              <c:pt idx="2">
                <c:v>0.34260515529332553</c:v>
              </c:pt>
              <c:pt idx="3">
                <c:v>0.29271216470735451</c:v>
              </c:pt>
              <c:pt idx="4">
                <c:v>0.29913445799954252</c:v>
              </c:pt>
              <c:pt idx="5">
                <c:v>0.34006120111373977</c:v>
              </c:pt>
              <c:pt idx="6">
                <c:v>0.35261145723392351</c:v>
              </c:pt>
              <c:pt idx="7">
                <c:v>0.37207910603600647</c:v>
              </c:pt>
              <c:pt idx="8">
                <c:v>0.41107006457302769</c:v>
              </c:pt>
              <c:pt idx="9">
                <c:v>0.43322025921940904</c:v>
              </c:pt>
              <c:pt idx="10">
                <c:v>0.35262623576415175</c:v>
              </c:pt>
              <c:pt idx="11">
                <c:v>0.28773767012134083</c:v>
              </c:pt>
            </c:numLit>
          </c:val>
          <c:extLst>
            <c:ext xmlns:c16="http://schemas.microsoft.com/office/drawing/2014/chart" uri="{C3380CC4-5D6E-409C-BE32-E72D297353CC}">
              <c16:uniqueId val="{0000000A-D7EF-4C51-A2AE-5643941F4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7763856"/>
        <c:axId val="246815408"/>
      </c:barChart>
      <c:catAx>
        <c:axId val="877638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81540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4681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763856"/>
        <c:crosses val="autoZero"/>
        <c:crossBetween val="between"/>
        <c:extLst>
          <c:ext xmlns:c15="http://schemas.microsoft.com/office/drawing/2012/chart" uri="{F40574EE-89B7-4290-83BB-5DA773EAF853}">
            <c15:numFmt c:formatCode="0.00%;\-0.00%;0.00%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5="http://schemas.microsoft.com/office/drawing/2012/chart" uri="{723BEF56-08C2-4564-9609-F4CBC75E7E54}">
      <c15:pivotSource>
        <c15:name>[Аналитика_PQ_PP.xlsx]PivotChartTable2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</xdr:row>
      <xdr:rowOff>161922</xdr:rowOff>
    </xdr:from>
    <xdr:to>
      <xdr:col>11</xdr:col>
      <xdr:colOff>304800</xdr:colOff>
      <xdr:row>24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FDCD26-F857-07F9-D938-82CC41DA9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609598</xdr:colOff>
      <xdr:row>1</xdr:row>
      <xdr:rowOff>190499</xdr:rowOff>
    </xdr:from>
    <xdr:to>
      <xdr:col>14</xdr:col>
      <xdr:colOff>361950</xdr:colOff>
      <xdr:row>28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D7B989-3B91-6007-199A-116A8A53C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68.78771423611" createdVersion="5" refreshedVersion="8" minRefreshableVersion="3" recordCount="0" supportSubquery="1" supportAdvancedDrill="1" xr:uid="{0A478420-013A-4BDA-9418-F63078C35FFA}">
  <cacheSource type="external" connectionId="2"/>
  <cacheFields count="3">
    <cacheField name="[Measures].[Валовая маржинальная прибыль (USD)]" caption="Валовая маржинальная прибыль (USD)" numFmtId="0" hierarchy="41" level="32767"/>
    <cacheField name="[факт_продаж].[Бренд].[Бренд]" caption="Бренд" numFmtId="0" hierarchy="14" level="1">
      <sharedItems count="2">
        <s v="Бренд1"/>
        <s v="Бренд2"/>
      </sharedItems>
    </cacheField>
    <cacheField name="[Measures].[% выполнения П_Ф]" caption="% выполнения П_Ф" numFmtId="0" hierarchy="52" level="32767"/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план_продаж].[Товарная группа]" caption="Товарная группа" attribute="1" defaultMemberUniqueName="[план_продаж].[Товарная группа].[All]" allUniqueName="[план_продаж].[Товарная группа].[All]" dimensionUniqueName="[план_продаж]" displayFolder="" count="0" memberValueDatatype="130" unbalanced="0"/>
    <cacheHierarchy uniqueName="[план_продаж].[Бренд]" caption="Бренд" attribute="1" defaultMemberUniqueName="[план_продаж].[Бренд].[All]" allUniqueName="[план_продаж].[Бренд].[All]" dimensionUniqueName="[план_продаж]" displayFolder="" count="0" memberValueDatatype="130" unbalanced="0"/>
    <cacheHierarchy uniqueName="[план_продаж].[Дата]" caption="Дата" attribute="1" time="1" defaultMemberUniqueName="[план_продаж].[Дата].[All]" allUniqueName="[план_продаж].[Дата].[All]" dimensionUniqueName="[план_продаж]" displayFolder="" count="0" memberValueDatatype="7" unbalanced="0"/>
    <cacheHierarchy uniqueName="[план_продаж].[Количество]" caption="Количество" attribute="1" defaultMemberUniqueName="[план_продаж].[Количество].[All]" allUniqueName="[план_продаж].[Количество].[All]" dimensionUniqueName="[план_продаж]" displayFolder="" count="0" memberValueDatatype="5" unbalanced="0"/>
    <cacheHierarchy uniqueName="[справочник брендов].[Бренд]" caption="Бренд" attribute="1" defaultMemberUniqueName="[справочник брендов].[Бренд].[All]" allUniqueName="[справочник брендов].[Бренд].[All]" dimensionUniqueName="[справочник брендов]" displayFolder="" count="0" memberValueDatatype="130" unbalanced="0"/>
    <cacheHierarchy uniqueName="[факт_продаж].[Товарная группа]" caption="Товарная группа" attribute="1" defaultMemberUniqueName="[факт_продаж].[Товарная группа].[All]" allUniqueName="[факт_продаж].[Товарная группа].[All]" dimensionUniqueName="[факт_продаж]" displayFolder="" count="0" memberValueDatatype="130" unbalanced="0"/>
    <cacheHierarchy uniqueName="[факт_продаж].[Бренд]" caption="Бренд" attribute="1" defaultMemberUniqueName="[факт_продаж].[Бренд].[All]" allUniqueName="[факт_продаж].[Бренд].[All]" dimensionUniqueName="[факт_продаж]" displayFolder="" count="2" memberValueDatatype="130" unbalanced="0">
      <fieldsUsage count="2">
        <fieldUsage x="-1"/>
        <fieldUsage x="1"/>
      </fieldsUsage>
    </cacheHierarchy>
    <cacheHierarchy uniqueName="[факт_продаж].[Дата]" caption="Дата" attribute="1" time="1" defaultMemberUniqueName="[факт_продаж].[Дата].[All]" allUniqueName="[факт_продаж].[Дата].[All]" dimensionUniqueName="[факт_продаж]" displayFolder="" count="0" memberValueDatatype="7" unbalanced="0"/>
    <cacheHierarchy uniqueName="[факт_продаж].[Количество_План]" caption="Количество_План" attribute="1" defaultMemberUniqueName="[факт_продаж].[Количество_План].[All]" allUniqueName="[факт_продаж].[Количество_План].[All]" dimensionUniqueName="[факт_продаж]" displayFolder="" count="0" memberValueDatatype="5" unbalanced="0"/>
    <cacheHierarchy uniqueName="[факт_продаж].[Количество_Факт]" caption="Количество_Факт" attribute="1" defaultMemberUniqueName="[факт_продаж].[Количество_Факт].[All]" allUniqueName="[факт_продаж].[Количество_Факт].[All]" dimensionUniqueName="[факт_продаж]" displayFolder="" count="0" memberValueDatatype="5" unbalanced="0"/>
    <cacheHierarchy uniqueName="[факт_продаж].[Сумма продажи в USD]" caption="Сумма продажи в USD" attribute="1" defaultMemberUniqueName="[факт_продаж].[Сумма продажи в USD].[All]" allUniqueName="[факт_продаж].[Сумма продажи в USD].[All]" dimensionUniqueName="[факт_продаж]" displayFolder="" count="0" memberValueDatatype="5" unbalanced="0"/>
    <cacheHierarchy uniqueName="[факт_продаж].[Стоимость, руб.]" caption="Стоимость, руб." attribute="1" defaultMemberUniqueName="[факт_продаж].[Стоимость, руб.].[All]" allUniqueName="[факт_продаж].[Стоимость, руб.].[All]" dimensionUniqueName="[факт_продаж]" displayFolder="" count="0" memberValueDatatype="20" unbalanced="0"/>
    <cacheHierarchy uniqueName="[факт_продаж].[Себестоимость USD]" caption="Себестоимость USD" attribute="1" defaultMemberUniqueName="[факт_продаж].[Себестоимость USD].[All]" allUniqueName="[факт_продаж].[Себестоимость USD].[All]" dimensionUniqueName="[факт_продаж]" displayFolder="" count="0" memberValueDatatype="5" unbalanced="0"/>
    <cacheHierarchy uniqueName="[факт_продаж].[Маржинальный доход в USD]" caption="Маржинальный доход в USD" attribute="1" defaultMemberUniqueName="[факт_продаж].[Маржинальный доход в USD].[All]" allUniqueName="[факт_продаж].[Маржинальный доход в USD].[All]" dimensionUniqueName="[факт_продаж]" displayFolder="" count="0" memberValueDatatype="5" unbalanced="0"/>
    <cacheHierarchy uniqueName="[факт_продаж].[Цена продажи в USD]" caption="Цена продажи в USD" attribute="1" defaultMemberUniqueName="[факт_продаж].[Цена продажи в USD].[All]" allUniqueName="[факт_продаж].[Цена продажи в USD].[All]" dimensionUniqueName="[факт_продаж]" displayFolder="" count="0" memberValueDatatype="5" unbalanced="0"/>
    <cacheHierarchy uniqueName="[факт_продаж].[Структура продаж по Брендам (%)]" caption="Структура продаж по Брендам (%)" attribute="1" defaultMemberUniqueName="[факт_продаж].[Структура продаж по Брендам (%)].[All]" allUniqueName="[факт_продаж].[Структура продаж по Брендам (%)].[All]" dimensionUniqueName="[факт_продаж]" displayFolder="" count="0" memberValueDatatype="5" unbalanced="0"/>
    <cacheHierarchy uniqueName="[факт_продаж].[Средний курс продаж (USD)]" caption="Средний курс продаж (USD)" attribute="1" defaultMemberUniqueName="[факт_продаж].[Средний курс продаж (USD)].[All]" allUniqueName="[факт_продаж].[Средний курс продаж (USD)].[All]" dimensionUniqueName="[факт_продаж]" displayFolder="" count="0" memberValueDatatype="5" unbalanced="0"/>
    <cacheHierarchy uniqueName="[факт_продаж].[Дата (Месяц)]" caption="Дата (Месяц)" attribute="1" defaultMemberUniqueName="[факт_продаж].[Дата (Месяц)].[All]" allUniqueName="[факт_продаж].[Дата (Месяц)].[All]" dimensionUniqueName="[факт_продаж]" displayFolder="" count="0" memberValueDatatype="130" unbalanced="0"/>
    <cacheHierarchy uniqueName="[факт_продаж].[Дата (Месяц)1]" caption="Дата (Месяц)1" attribute="1" defaultMemberUniqueName="[факт_продаж].[Дата (Месяц)1].[All]" allUniqueName="[факт_продаж].[Дата (Месяц)1].[All]" dimensionUniqueName="[факт_продаж]" displayFolder="" count="0" memberValueDatatype="130" unbalanced="0"/>
    <cacheHierarchy uniqueName="[факт_продаж].[Дата (Индекс месяца)]" caption="Дата (Индекс месяца)" attribute="1" defaultMemberUniqueName="[факт_продаж].[Дата (Индекс месяца)].[All]" allUniqueName="[факт_продаж].[Дата (Индекс месяца)].[All]" dimensionUniqueName="[факт_продаж]" displayFolder="" count="0" memberValueDatatype="20" unbalanced="0" hidden="1"/>
    <cacheHierarchy uniqueName="[Measures].[Сумма по столбцу Структура продаж по Брендам (%)]" caption="Сумма по столбцу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Структура продаж по Брендам (%)]" caption="Число элементов в столбце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Количество_Факт]" caption="Sum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Количество 2]" caption="Сумма по столбцу Количество 2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Количество_Факт]" caption="Count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Стоимость, руб.]" caption="Сумма по столбцу Стоимость, руб." measure="1" displayFolder="" measureGroup="факт_продаж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Количество_План]" caption="Sum of Количество_План" measure="1" displayFolder="" measureGroup="факт_продаж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Маржинальный доход в USD]" caption="Сумма по столбцу Маржинальный доход в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Себестоимость USD]" caption="Сумма по столбцу Себестоимость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Факт продаж Товарной группы1 за август 2022 (кол-во)]" caption="Факт продаж Товарной группы1 за август 2022 (кол-во)" measure="1" displayFolder="" measureGroup="факт_продаж" count="0"/>
    <cacheHierarchy uniqueName="[Measures].[% выполнения плана продаж (кол-во)]" caption="% выполнения плана продаж (кол-во)" measure="1" displayFolder="" measureGroup="факт_продаж" count="0"/>
    <cacheHierarchy uniqueName="[Measures].[Выручка (USD)]" caption="Выручка (USD)" measure="1" displayFolder="" measureGroup="факт_продаж" count="0"/>
    <cacheHierarchy uniqueName="[Measures].[Валовая маржинальная прибыль (USD)]" caption="Валовая маржинальная прибыль (USD)" measure="1" displayFolder="" measureGroup="факт_продаж" count="0" oneField="1">
      <fieldsUsage count="1">
        <fieldUsage x="0"/>
      </fieldsUsage>
    </cacheHierarchy>
    <cacheHierarchy uniqueName="[Measures].[Курс $ (среднее)]" caption="Курс $ (среднее)" measure="1" displayFolder="" measureGroup="факт_продаж" count="0"/>
    <cacheHierarchy uniqueName="[Measures].[Выручка_руб]" caption="Выручка_руб" measure="1" displayFolder="" measureGroup="факт_продаж" count="0"/>
    <cacheHierarchy uniqueName="[Measures].[Курс_1]" caption="Курс_1" measure="1" displayFolder="" measureGroup="факт_продаж" count="0"/>
    <cacheHierarchy uniqueName="[Measures].[Курс_2]" caption="Курс_2" measure="1" displayFolder="" measureGroup="факт_продаж" count="0"/>
    <cacheHierarchy uniqueName="[Measures].[Бренд1_Ф]" caption="Бренд1_Ф" measure="1" displayFolder="" measureGroup="факт_продаж" count="0"/>
    <cacheHierarchy uniqueName="[Measures].[Бренд2_Ф]" caption="Бренд2_Ф" measure="1" displayFolder="" measureGroup="факт_продаж" count="0"/>
    <cacheHierarchy uniqueName="[Measures].[Бренд1_П]" caption="Бренд1_П" measure="1" displayFolder="" measureGroup="факт_продаж" count="0"/>
    <cacheHierarchy uniqueName="[Measures].[Бренд2_П]" caption="Бренд2_П" measure="1" displayFolder="" measureGroup="факт_продаж" count="0"/>
    <cacheHierarchy uniqueName="[Measures].[% выполнения Плана_Бренд1]" caption="% выполнения Плана_Бренд1" measure="1" displayFolder="" measureGroup="факт_продаж" count="0"/>
    <cacheHierarchy uniqueName="[Measures].[% выполнения Плана_Бренд2]" caption="% выполнения Плана_Бренд2" measure="1" displayFolder="" measureGroup="факт_продаж" count="0"/>
    <cacheHierarchy uniqueName="[Measures].[% выполнения П_Ф]" caption="% выполнения П_Ф" measure="1" displayFolder="" measureGroup="факт_продаж" count="0" oneField="1">
      <fieldsUsage count="1">
        <fieldUsage x="2"/>
      </fieldsUsage>
    </cacheHierarchy>
    <cacheHierarchy uniqueName="[Measures].[__XL_Count Calendar]" caption="__XL_Count Calendar" measure="1" displayFolder="" measureGroup="Calendar" count="0" hidden="1"/>
    <cacheHierarchy uniqueName="[Measures].[__XL_Count факт_продаж]" caption="__XL_Count факт_продаж" measure="1" displayFolder="" measureGroup="факт_продаж" count="0" hidden="1"/>
    <cacheHierarchy uniqueName="[Measures].[__XL_Count план_продаж]" caption="__XL_Count план_продаж" measure="1" displayFolder="" measureGroup="план_продаж" count="0" hidden="1"/>
    <cacheHierarchy uniqueName="[Measures].[__XL_Count справочник брендов]" caption="__XL_Count справочник брендов" measure="1" displayFolder="" measureGroup="справочник брендов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план_продаж" uniqueName="[план_продаж]" caption="план_продаж"/>
    <dimension name="справочник брендов" uniqueName="[справочник брендов]" caption="справочник брендов"/>
    <dimension name="факт_продаж" uniqueName="[факт_продаж]" caption="факт_продаж"/>
  </dimensions>
  <measureGroups count="4">
    <measureGroup name="Calendar" caption="Calendar"/>
    <measureGroup name="план_продаж" caption="план_продаж"/>
    <measureGroup name="справочник брендов" caption="справочник брендов"/>
    <measureGroup name="факт_продаж" caption="факт_продаж"/>
  </measureGroups>
  <maps count="8">
    <map measureGroup="0" dimension="0"/>
    <map measureGroup="1" dimension="0"/>
    <map measureGroup="1" dimension="2"/>
    <map measureGroup="1" dimension="3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68.787715856481" createdVersion="5" refreshedVersion="8" minRefreshableVersion="3" recordCount="0" supportSubquery="1" supportAdvancedDrill="1" xr:uid="{13236056-6CA2-42C3-9193-0F363C159F35}">
  <cacheSource type="external" connectionId="2"/>
  <cacheFields count="6">
    <cacheField name="[Calendar].[Month].[Month]" caption="Month" numFmtId="0" hierarchy="4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Выручка (USD)]" caption="Выручка (USD)" numFmtId="0" hierarchy="40" level="32767"/>
    <cacheField name="[Measures].[Курс $ (среднее)]" caption="Курс $ (среднее)" numFmtId="0" hierarchy="42" level="32767"/>
    <cacheField name="[Measures].[Сумма по столбцу Стоимость, руб.]" caption="Сумма по столбцу Стоимость, руб." numFmtId="0" hierarchy="34" level="32767"/>
    <cacheField name="[факт_продаж].[Бренд].[Бренд]" caption="Бренд" numFmtId="0" hierarchy="14" level="1">
      <sharedItems count="2">
        <s v="Бренд1"/>
        <s v="Бренд2"/>
      </sharedItems>
    </cacheField>
    <cacheField name="[Measures].[% выполнения П_Ф]" caption="% выполнения П_Ф" numFmtId="0" hierarchy="52" level="32767"/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план_продаж].[Товарная группа]" caption="Товарная группа" attribute="1" defaultMemberUniqueName="[план_продаж].[Товарная группа].[All]" allUniqueName="[план_продаж].[Товарная группа].[All]" dimensionUniqueName="[план_продаж]" displayFolder="" count="0" memberValueDatatype="130" unbalanced="0"/>
    <cacheHierarchy uniqueName="[план_продаж].[Бренд]" caption="Бренд" attribute="1" defaultMemberUniqueName="[план_продаж].[Бренд].[All]" allUniqueName="[план_продаж].[Бренд].[All]" dimensionUniqueName="[план_продаж]" displayFolder="" count="0" memberValueDatatype="130" unbalanced="0"/>
    <cacheHierarchy uniqueName="[план_продаж].[Дата]" caption="Дата" attribute="1" time="1" defaultMemberUniqueName="[план_продаж].[Дата].[All]" allUniqueName="[план_продаж].[Дата].[All]" dimensionUniqueName="[план_продаж]" displayFolder="" count="0" memberValueDatatype="7" unbalanced="0"/>
    <cacheHierarchy uniqueName="[план_продаж].[Количество]" caption="Количество" attribute="1" defaultMemberUniqueName="[план_продаж].[Количество].[All]" allUniqueName="[план_продаж].[Количество].[All]" dimensionUniqueName="[план_продаж]" displayFolder="" count="0" memberValueDatatype="5" unbalanced="0"/>
    <cacheHierarchy uniqueName="[справочник брендов].[Бренд]" caption="Бренд" attribute="1" defaultMemberUniqueName="[справочник брендов].[Бренд].[All]" allUniqueName="[справочник брендов].[Бренд].[All]" dimensionUniqueName="[справочник брендов]" displayFolder="" count="0" memberValueDatatype="130" unbalanced="0"/>
    <cacheHierarchy uniqueName="[факт_продаж].[Товарная группа]" caption="Товарная группа" attribute="1" defaultMemberUniqueName="[факт_продаж].[Товарная группа].[All]" allUniqueName="[факт_продаж].[Товарная группа].[All]" dimensionUniqueName="[факт_продаж]" displayFolder="" count="0" memberValueDatatype="130" unbalanced="0"/>
    <cacheHierarchy uniqueName="[факт_продаж].[Бренд]" caption="Бренд" attribute="1" defaultMemberUniqueName="[факт_продаж].[Бренд].[All]" allUniqueName="[факт_продаж].[Бренд].[All]" dimensionUniqueName="[факт_продаж]" displayFolder="" count="2" memberValueDatatype="130" unbalanced="0">
      <fieldsUsage count="2">
        <fieldUsage x="-1"/>
        <fieldUsage x="4"/>
      </fieldsUsage>
    </cacheHierarchy>
    <cacheHierarchy uniqueName="[факт_продаж].[Дата]" caption="Дата" attribute="1" time="1" defaultMemberUniqueName="[факт_продаж].[Дата].[All]" allUniqueName="[факт_продаж].[Дата].[All]" dimensionUniqueName="[факт_продаж]" displayFolder="" count="0" memberValueDatatype="7" unbalanced="0"/>
    <cacheHierarchy uniqueName="[факт_продаж].[Количество_План]" caption="Количество_План" attribute="1" defaultMemberUniqueName="[факт_продаж].[Количество_План].[All]" allUniqueName="[факт_продаж].[Количество_План].[All]" dimensionUniqueName="[факт_продаж]" displayFolder="" count="0" memberValueDatatype="5" unbalanced="0"/>
    <cacheHierarchy uniqueName="[факт_продаж].[Количество_Факт]" caption="Количество_Факт" attribute="1" defaultMemberUniqueName="[факт_продаж].[Количество_Факт].[All]" allUniqueName="[факт_продаж].[Количество_Факт].[All]" dimensionUniqueName="[факт_продаж]" displayFolder="" count="0" memberValueDatatype="5" unbalanced="0"/>
    <cacheHierarchy uniqueName="[факт_продаж].[Сумма продажи в USD]" caption="Сумма продажи в USD" attribute="1" defaultMemberUniqueName="[факт_продаж].[Сумма продажи в USD].[All]" allUniqueName="[факт_продаж].[Сумма продажи в USD].[All]" dimensionUniqueName="[факт_продаж]" displayFolder="" count="0" memberValueDatatype="5" unbalanced="0"/>
    <cacheHierarchy uniqueName="[факт_продаж].[Стоимость, руб.]" caption="Стоимость, руб." attribute="1" defaultMemberUniqueName="[факт_продаж].[Стоимость, руб.].[All]" allUniqueName="[факт_продаж].[Стоимость, руб.].[All]" dimensionUniqueName="[факт_продаж]" displayFolder="" count="0" memberValueDatatype="20" unbalanced="0"/>
    <cacheHierarchy uniqueName="[факт_продаж].[Себестоимость USD]" caption="Себестоимость USD" attribute="1" defaultMemberUniqueName="[факт_продаж].[Себестоимость USD].[All]" allUniqueName="[факт_продаж].[Себестоимость USD].[All]" dimensionUniqueName="[факт_продаж]" displayFolder="" count="0" memberValueDatatype="5" unbalanced="0"/>
    <cacheHierarchy uniqueName="[факт_продаж].[Маржинальный доход в USD]" caption="Маржинальный доход в USD" attribute="1" defaultMemberUniqueName="[факт_продаж].[Маржинальный доход в USD].[All]" allUniqueName="[факт_продаж].[Маржинальный доход в USD].[All]" dimensionUniqueName="[факт_продаж]" displayFolder="" count="0" memberValueDatatype="5" unbalanced="0"/>
    <cacheHierarchy uniqueName="[факт_продаж].[Цена продажи в USD]" caption="Цена продажи в USD" attribute="1" defaultMemberUniqueName="[факт_продаж].[Цена продажи в USD].[All]" allUniqueName="[факт_продаж].[Цена продажи в USD].[All]" dimensionUniqueName="[факт_продаж]" displayFolder="" count="0" memberValueDatatype="5" unbalanced="0"/>
    <cacheHierarchy uniqueName="[факт_продаж].[Структура продаж по Брендам (%)]" caption="Структура продаж по Брендам (%)" attribute="1" defaultMemberUniqueName="[факт_продаж].[Структура продаж по Брендам (%)].[All]" allUniqueName="[факт_продаж].[Структура продаж по Брендам (%)].[All]" dimensionUniqueName="[факт_продаж]" displayFolder="" count="0" memberValueDatatype="5" unbalanced="0"/>
    <cacheHierarchy uniqueName="[факт_продаж].[Средний курс продаж (USD)]" caption="Средний курс продаж (USD)" attribute="1" defaultMemberUniqueName="[факт_продаж].[Средний курс продаж (USD)].[All]" allUniqueName="[факт_продаж].[Средний курс продаж (USD)].[All]" dimensionUniqueName="[факт_продаж]" displayFolder="" count="0" memberValueDatatype="5" unbalanced="0"/>
    <cacheHierarchy uniqueName="[факт_продаж].[Дата (Месяц)]" caption="Дата (Месяц)" attribute="1" defaultMemberUniqueName="[факт_продаж].[Дата (Месяц)].[All]" allUniqueName="[факт_продаж].[Дата (Месяц)].[All]" dimensionUniqueName="[факт_продаж]" displayFolder="" count="0" memberValueDatatype="130" unbalanced="0"/>
    <cacheHierarchy uniqueName="[факт_продаж].[Дата (Месяц)1]" caption="Дата (Месяц)1" attribute="1" defaultMemberUniqueName="[факт_продаж].[Дата (Месяц)1].[All]" allUniqueName="[факт_продаж].[Дата (Месяц)1].[All]" dimensionUniqueName="[факт_продаж]" displayFolder="" count="0" memberValueDatatype="130" unbalanced="0"/>
    <cacheHierarchy uniqueName="[факт_продаж].[Дата (Индекс месяца)]" caption="Дата (Индекс месяца)" attribute="1" defaultMemberUniqueName="[факт_продаж].[Дата (Индекс месяца)].[All]" allUniqueName="[факт_продаж].[Дата (Индекс месяца)].[All]" dimensionUniqueName="[факт_продаж]" displayFolder="" count="0" memberValueDatatype="20" unbalanced="0" hidden="1"/>
    <cacheHierarchy uniqueName="[Measures].[Сумма по столбцу Структура продаж по Брендам (%)]" caption="Сумма по столбцу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Структура продаж по Брендам (%)]" caption="Число элементов в столбце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Количество_Факт]" caption="Sum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Количество 2]" caption="Сумма по столбцу Количество 2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Количество_Факт]" caption="Count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Стоимость, руб.]" caption="Сумма по столбцу Стоимость, руб." measure="1" displayFolder="" measureGroup="факт_продаж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Количество_План]" caption="Sum of Количество_План" measure="1" displayFolder="" measureGroup="факт_продаж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Маржинальный доход в USD]" caption="Сумма по столбцу Маржинальный доход в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Себестоимость USD]" caption="Сумма по столбцу Себестоимость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Факт продаж Товарной группы1 за август 2022 (кол-во)]" caption="Факт продаж Товарной группы1 за август 2022 (кол-во)" measure="1" displayFolder="" measureGroup="факт_продаж" count="0"/>
    <cacheHierarchy uniqueName="[Measures].[% выполнения плана продаж (кол-во)]" caption="% выполнения плана продаж (кол-во)" measure="1" displayFolder="" measureGroup="факт_продаж" count="0"/>
    <cacheHierarchy uniqueName="[Measures].[Выручка (USD)]" caption="Выручка (USD)" measure="1" displayFolder="" measureGroup="факт_продаж" count="0" oneField="1">
      <fieldsUsage count="1">
        <fieldUsage x="1"/>
      </fieldsUsage>
    </cacheHierarchy>
    <cacheHierarchy uniqueName="[Measures].[Валовая маржинальная прибыль (USD)]" caption="Валовая маржинальная прибыль (USD)" measure="1" displayFolder="" measureGroup="факт_продаж" count="0"/>
    <cacheHierarchy uniqueName="[Measures].[Курс $ (среднее)]" caption="Курс $ (среднее)" measure="1" displayFolder="" measureGroup="факт_продаж" count="0" oneField="1">
      <fieldsUsage count="1">
        <fieldUsage x="2"/>
      </fieldsUsage>
    </cacheHierarchy>
    <cacheHierarchy uniqueName="[Measures].[Выручка_руб]" caption="Выручка_руб" measure="1" displayFolder="" measureGroup="факт_продаж" count="0"/>
    <cacheHierarchy uniqueName="[Measures].[Курс_1]" caption="Курс_1" measure="1" displayFolder="" measureGroup="факт_продаж" count="0"/>
    <cacheHierarchy uniqueName="[Measures].[Курс_2]" caption="Курс_2" measure="1" displayFolder="" measureGroup="факт_продаж" count="0"/>
    <cacheHierarchy uniqueName="[Measures].[Бренд1_Ф]" caption="Бренд1_Ф" measure="1" displayFolder="" measureGroup="факт_продаж" count="0"/>
    <cacheHierarchy uniqueName="[Measures].[Бренд2_Ф]" caption="Бренд2_Ф" measure="1" displayFolder="" measureGroup="факт_продаж" count="0"/>
    <cacheHierarchy uniqueName="[Measures].[Бренд1_П]" caption="Бренд1_П" measure="1" displayFolder="" measureGroup="факт_продаж" count="0"/>
    <cacheHierarchy uniqueName="[Measures].[Бренд2_П]" caption="Бренд2_П" measure="1" displayFolder="" measureGroup="факт_продаж" count="0"/>
    <cacheHierarchy uniqueName="[Measures].[% выполнения Плана_Бренд1]" caption="% выполнения Плана_Бренд1" measure="1" displayFolder="" measureGroup="факт_продаж" count="0"/>
    <cacheHierarchy uniqueName="[Measures].[% выполнения Плана_Бренд2]" caption="% выполнения Плана_Бренд2" measure="1" displayFolder="" measureGroup="факт_продаж" count="0"/>
    <cacheHierarchy uniqueName="[Measures].[% выполнения П_Ф]" caption="% выполнения П_Ф" measure="1" displayFolder="" measureGroup="факт_продаж" count="0" oneField="1">
      <fieldsUsage count="1">
        <fieldUsage x="5"/>
      </fieldsUsage>
    </cacheHierarchy>
    <cacheHierarchy uniqueName="[Measures].[__XL_Count Calendar]" caption="__XL_Count Calendar" measure="1" displayFolder="" measureGroup="Calendar" count="0" hidden="1"/>
    <cacheHierarchy uniqueName="[Measures].[__XL_Count факт_продаж]" caption="__XL_Count факт_продаж" measure="1" displayFolder="" measureGroup="факт_продаж" count="0" hidden="1"/>
    <cacheHierarchy uniqueName="[Measures].[__XL_Count план_продаж]" caption="__XL_Count план_продаж" measure="1" displayFolder="" measureGroup="план_продаж" count="0" hidden="1"/>
    <cacheHierarchy uniqueName="[Measures].[__XL_Count справочник брендов]" caption="__XL_Count справочник брендов" measure="1" displayFolder="" measureGroup="справочник брендов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план_продаж" uniqueName="[план_продаж]" caption="план_продаж"/>
    <dimension name="справочник брендов" uniqueName="[справочник брендов]" caption="справочник брендов"/>
    <dimension name="факт_продаж" uniqueName="[факт_продаж]" caption="факт_продаж"/>
  </dimensions>
  <measureGroups count="4">
    <measureGroup name="Calendar" caption="Calendar"/>
    <measureGroup name="план_продаж" caption="план_продаж"/>
    <measureGroup name="справочник брендов" caption="справочник брендов"/>
    <measureGroup name="факт_продаж" caption="факт_продаж"/>
  </measureGroups>
  <maps count="8">
    <map measureGroup="0" dimension="0"/>
    <map measureGroup="1" dimension="0"/>
    <map measureGroup="1" dimension="2"/>
    <map measureGroup="1" dimension="3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68.787717824074" createdVersion="5" refreshedVersion="8" minRefreshableVersion="3" recordCount="0" supportSubquery="1" supportAdvancedDrill="1" xr:uid="{84C5ABA8-232A-42D8-A43D-6D7AA399276B}">
  <cacheSource type="external" connectionId="2"/>
  <cacheFields count="3">
    <cacheField name="[Measures].[Факт продаж Товарной группы1 за август 2022 (кол-во)]" caption="Факт продаж Товарной группы1 за август 2022 (кол-во)" numFmtId="0" hierarchy="38" level="32767"/>
    <cacheField name="[факт_продаж].[Бренд].[Бренд]" caption="Бренд" numFmtId="0" hierarchy="14" level="1">
      <sharedItems count="2">
        <s v="Бренд1"/>
        <s v="Бренд2"/>
      </sharedItems>
    </cacheField>
    <cacheField name="[факт_продаж].[Товарная группа].[Товарная группа]" caption="Товарная группа" numFmtId="0" hierarchy="13" level="1">
      <sharedItems count="1">
        <s v="Товарная группа1"/>
      </sharedItems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план_продаж].[Товарная группа]" caption="Товарная группа" attribute="1" defaultMemberUniqueName="[план_продаж].[Товарная группа].[All]" allUniqueName="[план_продаж].[Товарная группа].[All]" dimensionUniqueName="[план_продаж]" displayFolder="" count="0" memberValueDatatype="130" unbalanced="0"/>
    <cacheHierarchy uniqueName="[план_продаж].[Бренд]" caption="Бренд" attribute="1" defaultMemberUniqueName="[план_продаж].[Бренд].[All]" allUniqueName="[план_продаж].[Бренд].[All]" dimensionUniqueName="[план_продаж]" displayFolder="" count="0" memberValueDatatype="130" unbalanced="0"/>
    <cacheHierarchy uniqueName="[план_продаж].[Дата]" caption="Дата" attribute="1" time="1" defaultMemberUniqueName="[план_продаж].[Дата].[All]" allUniqueName="[план_продаж].[Дата].[All]" dimensionUniqueName="[план_продаж]" displayFolder="" count="0" memberValueDatatype="7" unbalanced="0"/>
    <cacheHierarchy uniqueName="[план_продаж].[Количество]" caption="Количество" attribute="1" defaultMemberUniqueName="[план_продаж].[Количество].[All]" allUniqueName="[план_продаж].[Количество].[All]" dimensionUniqueName="[план_продаж]" displayFolder="" count="0" memberValueDatatype="5" unbalanced="0"/>
    <cacheHierarchy uniqueName="[справочник брендов].[Бренд]" caption="Бренд" attribute="1" defaultMemberUniqueName="[справочник брендов].[Бренд].[All]" allUniqueName="[справочник брендов].[Бренд].[All]" dimensionUniqueName="[справочник брендов]" displayFolder="" count="0" memberValueDatatype="130" unbalanced="0"/>
    <cacheHierarchy uniqueName="[факт_продаж].[Товарная группа]" caption="Товарная группа" attribute="1" defaultMemberUniqueName="[факт_продаж].[Товарная группа].[All]" allUniqueName="[факт_продаж].[Товарная группа].[All]" dimensionUniqueName="[факт_продаж]" displayFolder="" count="2" memberValueDatatype="130" unbalanced="0">
      <fieldsUsage count="2">
        <fieldUsage x="-1"/>
        <fieldUsage x="2"/>
      </fieldsUsage>
    </cacheHierarchy>
    <cacheHierarchy uniqueName="[факт_продаж].[Бренд]" caption="Бренд" attribute="1" defaultMemberUniqueName="[факт_продаж].[Бренд].[All]" allUniqueName="[факт_продаж].[Бренд].[All]" dimensionUniqueName="[факт_продаж]" displayFolder="" count="2" memberValueDatatype="130" unbalanced="0">
      <fieldsUsage count="2">
        <fieldUsage x="-1"/>
        <fieldUsage x="1"/>
      </fieldsUsage>
    </cacheHierarchy>
    <cacheHierarchy uniqueName="[факт_продаж].[Дата]" caption="Дата" attribute="1" time="1" defaultMemberUniqueName="[факт_продаж].[Дата].[All]" allUniqueName="[факт_продаж].[Дата].[All]" dimensionUniqueName="[факт_продаж]" displayFolder="" count="0" memberValueDatatype="7" unbalanced="0"/>
    <cacheHierarchy uniqueName="[факт_продаж].[Количество_План]" caption="Количество_План" attribute="1" defaultMemberUniqueName="[факт_продаж].[Количество_План].[All]" allUniqueName="[факт_продаж].[Количество_План].[All]" dimensionUniqueName="[факт_продаж]" displayFolder="" count="0" memberValueDatatype="5" unbalanced="0"/>
    <cacheHierarchy uniqueName="[факт_продаж].[Количество_Факт]" caption="Количество_Факт" attribute="1" defaultMemberUniqueName="[факт_продаж].[Количество_Факт].[All]" allUniqueName="[факт_продаж].[Количество_Факт].[All]" dimensionUniqueName="[факт_продаж]" displayFolder="" count="0" memberValueDatatype="5" unbalanced="0"/>
    <cacheHierarchy uniqueName="[факт_продаж].[Сумма продажи в USD]" caption="Сумма продажи в USD" attribute="1" defaultMemberUniqueName="[факт_продаж].[Сумма продажи в USD].[All]" allUniqueName="[факт_продаж].[Сумма продажи в USD].[All]" dimensionUniqueName="[факт_продаж]" displayFolder="" count="0" memberValueDatatype="5" unbalanced="0"/>
    <cacheHierarchy uniqueName="[факт_продаж].[Стоимость, руб.]" caption="Стоимость, руб." attribute="1" defaultMemberUniqueName="[факт_продаж].[Стоимость, руб.].[All]" allUniqueName="[факт_продаж].[Стоимость, руб.].[All]" dimensionUniqueName="[факт_продаж]" displayFolder="" count="0" memberValueDatatype="20" unbalanced="0"/>
    <cacheHierarchy uniqueName="[факт_продаж].[Себестоимость USD]" caption="Себестоимость USD" attribute="1" defaultMemberUniqueName="[факт_продаж].[Себестоимость USD].[All]" allUniqueName="[факт_продаж].[Себестоимость USD].[All]" dimensionUniqueName="[факт_продаж]" displayFolder="" count="0" memberValueDatatype="5" unbalanced="0"/>
    <cacheHierarchy uniqueName="[факт_продаж].[Маржинальный доход в USD]" caption="Маржинальный доход в USD" attribute="1" defaultMemberUniqueName="[факт_продаж].[Маржинальный доход в USD].[All]" allUniqueName="[факт_продаж].[Маржинальный доход в USD].[All]" dimensionUniqueName="[факт_продаж]" displayFolder="" count="0" memberValueDatatype="5" unbalanced="0"/>
    <cacheHierarchy uniqueName="[факт_продаж].[Цена продажи в USD]" caption="Цена продажи в USD" attribute="1" defaultMemberUniqueName="[факт_продаж].[Цена продажи в USD].[All]" allUniqueName="[факт_продаж].[Цена продажи в USD].[All]" dimensionUniqueName="[факт_продаж]" displayFolder="" count="0" memberValueDatatype="5" unbalanced="0"/>
    <cacheHierarchy uniqueName="[факт_продаж].[Структура продаж по Брендам (%)]" caption="Структура продаж по Брендам (%)" attribute="1" defaultMemberUniqueName="[факт_продаж].[Структура продаж по Брендам (%)].[All]" allUniqueName="[факт_продаж].[Структура продаж по Брендам (%)].[All]" dimensionUniqueName="[факт_продаж]" displayFolder="" count="0" memberValueDatatype="5" unbalanced="0"/>
    <cacheHierarchy uniqueName="[факт_продаж].[Средний курс продаж (USD)]" caption="Средний курс продаж (USD)" attribute="1" defaultMemberUniqueName="[факт_продаж].[Средний курс продаж (USD)].[All]" allUniqueName="[факт_продаж].[Средний курс продаж (USD)].[All]" dimensionUniqueName="[факт_продаж]" displayFolder="" count="0" memberValueDatatype="5" unbalanced="0"/>
    <cacheHierarchy uniqueName="[факт_продаж].[Дата (Месяц)]" caption="Дата (Месяц)" attribute="1" defaultMemberUniqueName="[факт_продаж].[Дата (Месяц)].[All]" allUniqueName="[факт_продаж].[Дата (Месяц)].[All]" dimensionUniqueName="[факт_продаж]" displayFolder="" count="0" memberValueDatatype="130" unbalanced="0"/>
    <cacheHierarchy uniqueName="[факт_продаж].[Дата (Месяц)1]" caption="Дата (Месяц)1" attribute="1" defaultMemberUniqueName="[факт_продаж].[Дата (Месяц)1].[All]" allUniqueName="[факт_продаж].[Дата (Месяц)1].[All]" dimensionUniqueName="[факт_продаж]" displayFolder="" count="0" memberValueDatatype="130" unbalanced="0"/>
    <cacheHierarchy uniqueName="[факт_продаж].[Дата (Индекс месяца)]" caption="Дата (Индекс месяца)" attribute="1" defaultMemberUniqueName="[факт_продаж].[Дата (Индекс месяца)].[All]" allUniqueName="[факт_продаж].[Дата (Индекс месяца)].[All]" dimensionUniqueName="[факт_продаж]" displayFolder="" count="0" memberValueDatatype="20" unbalanced="0" hidden="1"/>
    <cacheHierarchy uniqueName="[Measures].[Сумма по столбцу Структура продаж по Брендам (%)]" caption="Сумма по столбцу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Структура продаж по Брендам (%)]" caption="Число элементов в столбце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Количество_Факт]" caption="Sum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Количество 2]" caption="Сумма по столбцу Количество 2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Количество_Факт]" caption="Count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Стоимость, руб.]" caption="Сумма по столбцу Стоимость, руб." measure="1" displayFolder="" measureGroup="факт_продаж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Количество_План]" caption="Sum of Количество_План" measure="1" displayFolder="" measureGroup="факт_продаж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Маржинальный доход в USD]" caption="Сумма по столбцу Маржинальный доход в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Себестоимость USD]" caption="Сумма по столбцу Себестоимость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Факт продаж Товарной группы1 за август 2022 (кол-во)]" caption="Факт продаж Товарной группы1 за август 2022 (кол-во)" measure="1" displayFolder="" measureGroup="факт_продаж" count="0" oneField="1">
      <fieldsUsage count="1">
        <fieldUsage x="0"/>
      </fieldsUsage>
    </cacheHierarchy>
    <cacheHierarchy uniqueName="[Measures].[% выполнения плана продаж (кол-во)]" caption="% выполнения плана продаж (кол-во)" measure="1" displayFolder="" measureGroup="факт_продаж" count="0"/>
    <cacheHierarchy uniqueName="[Measures].[Выручка (USD)]" caption="Выручка (USD)" measure="1" displayFolder="" measureGroup="факт_продаж" count="0"/>
    <cacheHierarchy uniqueName="[Measures].[Валовая маржинальная прибыль (USD)]" caption="Валовая маржинальная прибыль (USD)" measure="1" displayFolder="" measureGroup="факт_продаж" count="0"/>
    <cacheHierarchy uniqueName="[Measures].[Курс $ (среднее)]" caption="Курс $ (среднее)" measure="1" displayFolder="" measureGroup="факт_продаж" count="0"/>
    <cacheHierarchy uniqueName="[Measures].[Выручка_руб]" caption="Выручка_руб" measure="1" displayFolder="" measureGroup="факт_продаж" count="0"/>
    <cacheHierarchy uniqueName="[Measures].[Курс_1]" caption="Курс_1" measure="1" displayFolder="" measureGroup="факт_продаж" count="0"/>
    <cacheHierarchy uniqueName="[Measures].[Курс_2]" caption="Курс_2" measure="1" displayFolder="" measureGroup="факт_продаж" count="0"/>
    <cacheHierarchy uniqueName="[Measures].[Бренд1_Ф]" caption="Бренд1_Ф" measure="1" displayFolder="" measureGroup="факт_продаж" count="0"/>
    <cacheHierarchy uniqueName="[Measures].[Бренд2_Ф]" caption="Бренд2_Ф" measure="1" displayFolder="" measureGroup="факт_продаж" count="0"/>
    <cacheHierarchy uniqueName="[Measures].[Бренд1_П]" caption="Бренд1_П" measure="1" displayFolder="" measureGroup="факт_продаж" count="0"/>
    <cacheHierarchy uniqueName="[Measures].[Бренд2_П]" caption="Бренд2_П" measure="1" displayFolder="" measureGroup="факт_продаж" count="0"/>
    <cacheHierarchy uniqueName="[Measures].[% выполнения Плана_Бренд1]" caption="% выполнения Плана_Бренд1" measure="1" displayFolder="" measureGroup="факт_продаж" count="0"/>
    <cacheHierarchy uniqueName="[Measures].[% выполнения Плана_Бренд2]" caption="% выполнения Плана_Бренд2" measure="1" displayFolder="" measureGroup="факт_продаж" count="0"/>
    <cacheHierarchy uniqueName="[Measures].[% выполнения П_Ф]" caption="% выполнения П_Ф" measure="1" displayFolder="" measureGroup="факт_продаж" count="0"/>
    <cacheHierarchy uniqueName="[Measures].[__XL_Count Calendar]" caption="__XL_Count Calendar" measure="1" displayFolder="" measureGroup="Calendar" count="0" hidden="1"/>
    <cacheHierarchy uniqueName="[Measures].[__XL_Count факт_продаж]" caption="__XL_Count факт_продаж" measure="1" displayFolder="" measureGroup="факт_продаж" count="0" hidden="1"/>
    <cacheHierarchy uniqueName="[Measures].[__XL_Count план_продаж]" caption="__XL_Count план_продаж" measure="1" displayFolder="" measureGroup="план_продаж" count="0" hidden="1"/>
    <cacheHierarchy uniqueName="[Measures].[__XL_Count справочник брендов]" caption="__XL_Count справочник брендов" measure="1" displayFolder="" measureGroup="справочник брендов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план_продаж" uniqueName="[план_продаж]" caption="план_продаж"/>
    <dimension name="справочник брендов" uniqueName="[справочник брендов]" caption="справочник брендов"/>
    <dimension name="факт_продаж" uniqueName="[факт_продаж]" caption="факт_продаж"/>
  </dimensions>
  <measureGroups count="4">
    <measureGroup name="Calendar" caption="Calendar"/>
    <measureGroup name="план_продаж" caption="план_продаж"/>
    <measureGroup name="справочник брендов" caption="справочник брендов"/>
    <measureGroup name="факт_продаж" caption="факт_продаж"/>
  </measureGroups>
  <maps count="8">
    <map measureGroup="0" dimension="0"/>
    <map measureGroup="1" dimension="0"/>
    <map measureGroup="1" dimension="2"/>
    <map measureGroup="1" dimension="3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68.787719444445" createdVersion="5" refreshedVersion="8" minRefreshableVersion="3" recordCount="0" supportSubquery="1" supportAdvancedDrill="1" xr:uid="{F4BDF53A-E9DD-440F-816B-10DA90E866EE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Calendar].[Month].[Month]" caption="Month" numFmtId="0" hierarchy="4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Sum of Количество_План]" caption="Sum of Количество_План" numFmtId="0" hierarchy="35" level="32767"/>
    <cacheField name="[Measures].[Sum of Количество_Факт]" caption="Sum of Количество_Факт" numFmtId="0" hierarchy="30" level="32767"/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план_продаж].[Товарная группа]" caption="Товарная группа" attribute="1" defaultMemberUniqueName="[план_продаж].[Товарная группа].[All]" allUniqueName="[план_продаж].[Товарная группа].[All]" dimensionUniqueName="[план_продаж]" displayFolder="" count="0" memberValueDatatype="130" unbalanced="0"/>
    <cacheHierarchy uniqueName="[план_продаж].[Бренд]" caption="Бренд" attribute="1" defaultMemberUniqueName="[план_продаж].[Бренд].[All]" allUniqueName="[план_продаж].[Бренд].[All]" dimensionUniqueName="[план_продаж]" displayFolder="" count="0" memberValueDatatype="130" unbalanced="0"/>
    <cacheHierarchy uniqueName="[план_продаж].[Дата]" caption="Дата" attribute="1" time="1" defaultMemberUniqueName="[план_продаж].[Дата].[All]" allUniqueName="[план_продаж].[Дата].[All]" dimensionUniqueName="[план_продаж]" displayFolder="" count="0" memberValueDatatype="7" unbalanced="0"/>
    <cacheHierarchy uniqueName="[план_продаж].[Количество]" caption="Количество" attribute="1" defaultMemberUniqueName="[план_продаж].[Количество].[All]" allUniqueName="[план_продаж].[Количество].[All]" dimensionUniqueName="[план_продаж]" displayFolder="" count="0" memberValueDatatype="5" unbalanced="0"/>
    <cacheHierarchy uniqueName="[справочник брендов].[Бренд]" caption="Бренд" attribute="1" defaultMemberUniqueName="[справочник брендов].[Бренд].[All]" allUniqueName="[справочник брендов].[Бренд].[All]" dimensionUniqueName="[справочник брендов]" displayFolder="" count="0" memberValueDatatype="130" unbalanced="0"/>
    <cacheHierarchy uniqueName="[факт_продаж].[Товарная группа]" caption="Товарная группа" attribute="1" defaultMemberUniqueName="[факт_продаж].[Товарная группа].[All]" allUniqueName="[факт_продаж].[Товарная группа].[All]" dimensionUniqueName="[факт_продаж]" displayFolder="" count="0" memberValueDatatype="130" unbalanced="0"/>
    <cacheHierarchy uniqueName="[факт_продаж].[Бренд]" caption="Бренд" attribute="1" defaultMemberUniqueName="[факт_продаж].[Бренд].[All]" allUniqueName="[факт_продаж].[Бренд].[All]" dimensionUniqueName="[факт_продаж]" displayFolder="" count="0" memberValueDatatype="130" unbalanced="0"/>
    <cacheHierarchy uniqueName="[факт_продаж].[Дата]" caption="Дата" attribute="1" time="1" defaultMemberUniqueName="[факт_продаж].[Дата].[All]" allUniqueName="[факт_продаж].[Дата].[All]" dimensionUniqueName="[факт_продаж]" displayFolder="" count="0" memberValueDatatype="7" unbalanced="0"/>
    <cacheHierarchy uniqueName="[факт_продаж].[Количество_План]" caption="Количество_План" attribute="1" defaultMemberUniqueName="[факт_продаж].[Количество_План].[All]" allUniqueName="[факт_продаж].[Количество_План].[All]" dimensionUniqueName="[факт_продаж]" displayFolder="" count="0" memberValueDatatype="5" unbalanced="0"/>
    <cacheHierarchy uniqueName="[факт_продаж].[Количество_Факт]" caption="Количество_Факт" attribute="1" defaultMemberUniqueName="[факт_продаж].[Количество_Факт].[All]" allUniqueName="[факт_продаж].[Количество_Факт].[All]" dimensionUniqueName="[факт_продаж]" displayFolder="" count="0" memberValueDatatype="5" unbalanced="0"/>
    <cacheHierarchy uniqueName="[факт_продаж].[Сумма продажи в USD]" caption="Сумма продажи в USD" attribute="1" defaultMemberUniqueName="[факт_продаж].[Сумма продажи в USD].[All]" allUniqueName="[факт_продаж].[Сумма продажи в USD].[All]" dimensionUniqueName="[факт_продаж]" displayFolder="" count="0" memberValueDatatype="5" unbalanced="0"/>
    <cacheHierarchy uniqueName="[факт_продаж].[Стоимость, руб.]" caption="Стоимость, руб." attribute="1" defaultMemberUniqueName="[факт_продаж].[Стоимость, руб.].[All]" allUniqueName="[факт_продаж].[Стоимость, руб.].[All]" dimensionUniqueName="[факт_продаж]" displayFolder="" count="0" memberValueDatatype="20" unbalanced="0"/>
    <cacheHierarchy uniqueName="[факт_продаж].[Себестоимость USD]" caption="Себестоимость USD" attribute="1" defaultMemberUniqueName="[факт_продаж].[Себестоимость USD].[All]" allUniqueName="[факт_продаж].[Себестоимость USD].[All]" dimensionUniqueName="[факт_продаж]" displayFolder="" count="0" memberValueDatatype="5" unbalanced="0"/>
    <cacheHierarchy uniqueName="[факт_продаж].[Маржинальный доход в USD]" caption="Маржинальный доход в USD" attribute="1" defaultMemberUniqueName="[факт_продаж].[Маржинальный доход в USD].[All]" allUniqueName="[факт_продаж].[Маржинальный доход в USD].[All]" dimensionUniqueName="[факт_продаж]" displayFolder="" count="0" memberValueDatatype="5" unbalanced="0"/>
    <cacheHierarchy uniqueName="[факт_продаж].[Цена продажи в USD]" caption="Цена продажи в USD" attribute="1" defaultMemberUniqueName="[факт_продаж].[Цена продажи в USD].[All]" allUniqueName="[факт_продаж].[Цена продажи в USD].[All]" dimensionUniqueName="[факт_продаж]" displayFolder="" count="0" memberValueDatatype="5" unbalanced="0"/>
    <cacheHierarchy uniqueName="[факт_продаж].[Структура продаж по Брендам (%)]" caption="Структура продаж по Брендам (%)" attribute="1" defaultMemberUniqueName="[факт_продаж].[Структура продаж по Брендам (%)].[All]" allUniqueName="[факт_продаж].[Структура продаж по Брендам (%)].[All]" dimensionUniqueName="[факт_продаж]" displayFolder="" count="0" memberValueDatatype="5" unbalanced="0"/>
    <cacheHierarchy uniqueName="[факт_продаж].[Средний курс продаж (USD)]" caption="Средний курс продаж (USD)" attribute="1" defaultMemberUniqueName="[факт_продаж].[Средний курс продаж (USD)].[All]" allUniqueName="[факт_продаж].[Средний курс продаж (USD)].[All]" dimensionUniqueName="[факт_продаж]" displayFolder="" count="0" memberValueDatatype="5" unbalanced="0"/>
    <cacheHierarchy uniqueName="[факт_продаж].[Дата (Месяц)]" caption="Дата (Месяц)" attribute="1" defaultMemberUniqueName="[факт_продаж].[Дата (Месяц)].[All]" allUniqueName="[факт_продаж].[Дата (Месяц)].[All]" dimensionUniqueName="[факт_продаж]" displayFolder="" count="0" memberValueDatatype="130" unbalanced="0"/>
    <cacheHierarchy uniqueName="[факт_продаж].[Дата (Месяц)1]" caption="Дата (Месяц)1" attribute="1" defaultMemberUniqueName="[факт_продаж].[Дата (Месяц)1].[All]" allUniqueName="[факт_продаж].[Дата (Месяц)1].[All]" dimensionUniqueName="[факт_продаж]" displayFolder="" count="0" memberValueDatatype="130" unbalanced="0"/>
    <cacheHierarchy uniqueName="[факт_продаж].[Дата (Индекс месяца)]" caption="Дата (Индекс месяца)" attribute="1" defaultMemberUniqueName="[факт_продаж].[Дата (Индекс месяца)].[All]" allUniqueName="[факт_продаж].[Дата (Индекс месяца)].[All]" dimensionUniqueName="[факт_продаж]" displayFolder="" count="0" memberValueDatatype="20" unbalanced="0" hidden="1"/>
    <cacheHierarchy uniqueName="[Measures].[Сумма по столбцу Структура продаж по Брендам (%)]" caption="Сумма по столбцу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Структура продаж по Брендам (%)]" caption="Число элементов в столбце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Количество_Факт]" caption="Sum of Количество_Факт" measure="1" displayFolder="" measureGroup="факт_продаж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Количество 2]" caption="Сумма по столбцу Количество 2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Количество_Факт]" caption="Count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Стоимость, руб.]" caption="Сумма по столбцу Стоимость, руб." measure="1" displayFolder="" measureGroup="факт_продаж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Количество_План]" caption="Sum of Количество_План" measure="1" displayFolder="" measureGroup="факт_продаж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Маржинальный доход в USD]" caption="Сумма по столбцу Маржинальный доход в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Себестоимость USD]" caption="Сумма по столбцу Себестоимость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Факт продаж Товарной группы1 за август 2022 (кол-во)]" caption="Факт продаж Товарной группы1 за август 2022 (кол-во)" measure="1" displayFolder="" measureGroup="факт_продаж" count="0"/>
    <cacheHierarchy uniqueName="[Measures].[% выполнения плана продаж (кол-во)]" caption="% выполнения плана продаж (кол-во)" measure="1" displayFolder="" measureGroup="факт_продаж" count="0"/>
    <cacheHierarchy uniqueName="[Measures].[Выручка (USD)]" caption="Выручка (USD)" measure="1" displayFolder="" measureGroup="факт_продаж" count="0"/>
    <cacheHierarchy uniqueName="[Measures].[Валовая маржинальная прибыль (USD)]" caption="Валовая маржинальная прибыль (USD)" measure="1" displayFolder="" measureGroup="факт_продаж" count="0"/>
    <cacheHierarchy uniqueName="[Measures].[Курс $ (среднее)]" caption="Курс $ (среднее)" measure="1" displayFolder="" measureGroup="факт_продаж" count="0"/>
    <cacheHierarchy uniqueName="[Measures].[Выручка_руб]" caption="Выручка_руб" measure="1" displayFolder="" measureGroup="факт_продаж" count="0"/>
    <cacheHierarchy uniqueName="[Measures].[Курс_1]" caption="Курс_1" measure="1" displayFolder="" measureGroup="факт_продаж" count="0"/>
    <cacheHierarchy uniqueName="[Measures].[Курс_2]" caption="Курс_2" measure="1" displayFolder="" measureGroup="факт_продаж" count="0"/>
    <cacheHierarchy uniqueName="[Measures].[Бренд1_Ф]" caption="Бренд1_Ф" measure="1" displayFolder="" measureGroup="факт_продаж" count="0"/>
    <cacheHierarchy uniqueName="[Measures].[Бренд2_Ф]" caption="Бренд2_Ф" measure="1" displayFolder="" measureGroup="факт_продаж" count="0"/>
    <cacheHierarchy uniqueName="[Measures].[Бренд1_П]" caption="Бренд1_П" measure="1" displayFolder="" measureGroup="факт_продаж" count="0"/>
    <cacheHierarchy uniqueName="[Measures].[Бренд2_П]" caption="Бренд2_П" measure="1" displayFolder="" measureGroup="факт_продаж" count="0"/>
    <cacheHierarchy uniqueName="[Measures].[% выполнения Плана_Бренд1]" caption="% выполнения Плана_Бренд1" measure="1" displayFolder="" measureGroup="факт_продаж" count="0"/>
    <cacheHierarchy uniqueName="[Measures].[% выполнения Плана_Бренд2]" caption="% выполнения Плана_Бренд2" measure="1" displayFolder="" measureGroup="факт_продаж" count="0"/>
    <cacheHierarchy uniqueName="[Measures].[% выполнения П_Ф]" caption="% выполнения П_Ф" measure="1" displayFolder="" measureGroup="факт_продаж" count="0"/>
    <cacheHierarchy uniqueName="[Measures].[__XL_Count Calendar]" caption="__XL_Count Calendar" measure="1" displayFolder="" measureGroup="Calendar" count="0" hidden="1"/>
    <cacheHierarchy uniqueName="[Measures].[__XL_Count факт_продаж]" caption="__XL_Count факт_продаж" measure="1" displayFolder="" measureGroup="факт_продаж" count="0" hidden="1"/>
    <cacheHierarchy uniqueName="[Measures].[__XL_Count план_продаж]" caption="__XL_Count план_продаж" measure="1" displayFolder="" measureGroup="план_продаж" count="0" hidden="1"/>
    <cacheHierarchy uniqueName="[Measures].[__XL_Count справочник брендов]" caption="__XL_Count справочник брендов" measure="1" displayFolder="" measureGroup="справочник брендов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план_продаж" uniqueName="[план_продаж]" caption="план_продаж"/>
    <dimension name="справочник брендов" uniqueName="[справочник брендов]" caption="справочник брендов"/>
    <dimension name="факт_продаж" uniqueName="[факт_продаж]" caption="факт_продаж"/>
  </dimensions>
  <measureGroups count="4">
    <measureGroup name="Calendar" caption="Calendar"/>
    <measureGroup name="план_продаж" caption="план_продаж"/>
    <measureGroup name="справочник брендов" caption="справочник брендов"/>
    <measureGroup name="факт_продаж" caption="факт_продаж"/>
  </measureGroups>
  <maps count="8">
    <map measureGroup="0" dimension="0"/>
    <map measureGroup="1" dimension="0"/>
    <map measureGroup="1" dimension="2"/>
    <map measureGroup="1" dimension="3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117268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68.794208217594" createdVersion="5" refreshedVersion="8" minRefreshableVersion="3" recordCount="0" supportSubquery="1" supportAdvancedDrill="1" xr:uid="{B8555326-584A-405F-AE92-7E3DF4A2DB2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Calendar].[Month].[Month]" caption="Month" numFmtId="0" hierarchy="4" level="1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[Measures].[% выполнения П_Ф]" caption="% выполнения П_Ф" numFmtId="0" hierarchy="52" level="32767"/>
    <cacheField name="[справочник брендов].[Бренд].[Бренд]" caption="Бренд" numFmtId="0" hierarchy="12" level="1">
      <sharedItems count="2">
        <s v="Бренд1"/>
        <s v="Бренд2"/>
      </sharedItems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план_продаж].[Товарная группа]" caption="Товарная группа" attribute="1" defaultMemberUniqueName="[план_продаж].[Товарная группа].[All]" allUniqueName="[план_продаж].[Товарная группа].[All]" dimensionUniqueName="[план_продаж]" displayFolder="" count="0" memberValueDatatype="130" unbalanced="0"/>
    <cacheHierarchy uniqueName="[план_продаж].[Бренд]" caption="Бренд" attribute="1" defaultMemberUniqueName="[план_продаж].[Бренд].[All]" allUniqueName="[план_продаж].[Бренд].[All]" dimensionUniqueName="[план_продаж]" displayFolder="" count="0" memberValueDatatype="130" unbalanced="0"/>
    <cacheHierarchy uniqueName="[план_продаж].[Дата]" caption="Дата" attribute="1" time="1" defaultMemberUniqueName="[план_продаж].[Дата].[All]" allUniqueName="[план_продаж].[Дата].[All]" dimensionUniqueName="[план_продаж]" displayFolder="" count="0" memberValueDatatype="7" unbalanced="0"/>
    <cacheHierarchy uniqueName="[план_продаж].[Количество]" caption="Количество" attribute="1" defaultMemberUniqueName="[план_продаж].[Количество].[All]" allUniqueName="[план_продаж].[Количество].[All]" dimensionUniqueName="[план_продаж]" displayFolder="" count="0" memberValueDatatype="5" unbalanced="0"/>
    <cacheHierarchy uniqueName="[справочник брендов].[Бренд]" caption="Бренд" attribute="1" defaultMemberUniqueName="[справочник брендов].[Бренд].[All]" allUniqueName="[справочник брендов].[Бренд].[All]" dimensionUniqueName="[справочник брендов]" displayFolder="" count="2" memberValueDatatype="130" unbalanced="0">
      <fieldsUsage count="2">
        <fieldUsage x="-1"/>
        <fieldUsage x="2"/>
      </fieldsUsage>
    </cacheHierarchy>
    <cacheHierarchy uniqueName="[факт_продаж].[Товарная группа]" caption="Товарная группа" attribute="1" defaultMemberUniqueName="[факт_продаж].[Товарная группа].[All]" allUniqueName="[факт_продаж].[Товарная группа].[All]" dimensionUniqueName="[факт_продаж]" displayFolder="" count="0" memberValueDatatype="130" unbalanced="0"/>
    <cacheHierarchy uniqueName="[факт_продаж].[Бренд]" caption="Бренд" attribute="1" defaultMemberUniqueName="[факт_продаж].[Бренд].[All]" allUniqueName="[факт_продаж].[Бренд].[All]" dimensionUniqueName="[факт_продаж]" displayFolder="" count="2" memberValueDatatype="130" unbalanced="0"/>
    <cacheHierarchy uniqueName="[факт_продаж].[Дата]" caption="Дата" attribute="1" time="1" defaultMemberUniqueName="[факт_продаж].[Дата].[All]" allUniqueName="[факт_продаж].[Дата].[All]" dimensionUniqueName="[факт_продаж]" displayFolder="" count="2" memberValueDatatype="7" unbalanced="0"/>
    <cacheHierarchy uniqueName="[факт_продаж].[Количество_План]" caption="Количество_План" attribute="1" defaultMemberUniqueName="[факт_продаж].[Количество_План].[All]" allUniqueName="[факт_продаж].[Количество_План].[All]" dimensionUniqueName="[факт_продаж]" displayFolder="" count="0" memberValueDatatype="5" unbalanced="0"/>
    <cacheHierarchy uniqueName="[факт_продаж].[Количество_Факт]" caption="Количество_Факт" attribute="1" defaultMemberUniqueName="[факт_продаж].[Количество_Факт].[All]" allUniqueName="[факт_продаж].[Количество_Факт].[All]" dimensionUniqueName="[факт_продаж]" displayFolder="" count="0" memberValueDatatype="5" unbalanced="0"/>
    <cacheHierarchy uniqueName="[факт_продаж].[Сумма продажи в USD]" caption="Сумма продажи в USD" attribute="1" defaultMemberUniqueName="[факт_продаж].[Сумма продажи в USD].[All]" allUniqueName="[факт_продаж].[Сумма продажи в USD].[All]" dimensionUniqueName="[факт_продаж]" displayFolder="" count="0" memberValueDatatype="5" unbalanced="0"/>
    <cacheHierarchy uniqueName="[факт_продаж].[Стоимость, руб.]" caption="Стоимость, руб." attribute="1" defaultMemberUniqueName="[факт_продаж].[Стоимость, руб.].[All]" allUniqueName="[факт_продаж].[Стоимость, руб.].[All]" dimensionUniqueName="[факт_продаж]" displayFolder="" count="0" memberValueDatatype="20" unbalanced="0"/>
    <cacheHierarchy uniqueName="[факт_продаж].[Себестоимость USD]" caption="Себестоимость USD" attribute="1" defaultMemberUniqueName="[факт_продаж].[Себестоимость USD].[All]" allUniqueName="[факт_продаж].[Себестоимость USD].[All]" dimensionUniqueName="[факт_продаж]" displayFolder="" count="0" memberValueDatatype="5" unbalanced="0"/>
    <cacheHierarchy uniqueName="[факт_продаж].[Маржинальный доход в USD]" caption="Маржинальный доход в USD" attribute="1" defaultMemberUniqueName="[факт_продаж].[Маржинальный доход в USD].[All]" allUniqueName="[факт_продаж].[Маржинальный доход в USD].[All]" dimensionUniqueName="[факт_продаж]" displayFolder="" count="0" memberValueDatatype="5" unbalanced="0"/>
    <cacheHierarchy uniqueName="[факт_продаж].[Цена продажи в USD]" caption="Цена продажи в USD" attribute="1" defaultMemberUniqueName="[факт_продаж].[Цена продажи в USD].[All]" allUniqueName="[факт_продаж].[Цена продажи в USD].[All]" dimensionUniqueName="[факт_продаж]" displayFolder="" count="0" memberValueDatatype="5" unbalanced="0"/>
    <cacheHierarchy uniqueName="[факт_продаж].[Структура продаж по Брендам (%)]" caption="Структура продаж по Брендам (%)" attribute="1" defaultMemberUniqueName="[факт_продаж].[Структура продаж по Брендам (%)].[All]" allUniqueName="[факт_продаж].[Структура продаж по Брендам (%)].[All]" dimensionUniqueName="[факт_продаж]" displayFolder="" count="0" memberValueDatatype="5" unbalanced="0"/>
    <cacheHierarchy uniqueName="[факт_продаж].[Средний курс продаж (USD)]" caption="Средний курс продаж (USD)" attribute="1" defaultMemberUniqueName="[факт_продаж].[Средний курс продаж (USD)].[All]" allUniqueName="[факт_продаж].[Средний курс продаж (USD)].[All]" dimensionUniqueName="[факт_продаж]" displayFolder="" count="0" memberValueDatatype="5" unbalanced="0"/>
    <cacheHierarchy uniqueName="[факт_продаж].[Дата (Месяц)]" caption="Дата (Месяц)" attribute="1" defaultMemberUniqueName="[факт_продаж].[Дата (Месяц)].[All]" allUniqueName="[факт_продаж].[Дата (Месяц)].[All]" dimensionUniqueName="[факт_продаж]" displayFolder="" count="0" memberValueDatatype="130" unbalanced="0"/>
    <cacheHierarchy uniqueName="[факт_продаж].[Дата (Месяц)1]" caption="Дата (Месяц)1" attribute="1" defaultMemberUniqueName="[факт_продаж].[Дата (Месяц)1].[All]" allUniqueName="[факт_продаж].[Дата (Месяц)1].[All]" dimensionUniqueName="[факт_продаж]" displayFolder="" count="2" memberValueDatatype="130" unbalanced="0"/>
    <cacheHierarchy uniqueName="[факт_продаж].[Дата (Индекс месяца)]" caption="Дата (Индекс месяца)" attribute="1" defaultMemberUniqueName="[факт_продаж].[Дата (Индекс месяца)].[All]" allUniqueName="[факт_продаж].[Дата (Индекс месяца)].[All]" dimensionUniqueName="[факт_продаж]" displayFolder="" count="0" memberValueDatatype="20" unbalanced="0" hidden="1"/>
    <cacheHierarchy uniqueName="[Measures].[Сумма по столбцу Структура продаж по Брендам (%)]" caption="Сумма по столбцу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Структура продаж по Брендам (%)]" caption="Число элементов в столбце Структура продаж по Брендам (%)" measure="1" displayFolder="" measureGroup="факт_продаж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Количество_Факт]" caption="Sum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Количество 2]" caption="Сумма по столбцу Количество 2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элементов в столбце Количество]" caption="Число элементов в столбце Количество" measure="1" displayFolder="" measureGroup="план_продаж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Количество_Факт]" caption="Count of Количество_Факт" measure="1" displayFolder="" measureGroup="факт_продаж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Стоимость, руб.]" caption="Сумма по столбцу Стоимость, руб." measure="1" displayFolder="" measureGroup="факт_продаж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Количество_План]" caption="Sum of Количество_План" measure="1" displayFolder="" measureGroup="факт_продаж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Маржинальный доход в USD]" caption="Сумма по столбцу Маржинальный доход в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Себестоимость USD]" caption="Сумма по столбцу Себестоимость USD" measure="1" displayFolder="" measureGroup="факт_продаж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Факт продаж Товарной группы1 за август 2022 (кол-во)]" caption="Факт продаж Товарной группы1 за август 2022 (кол-во)" measure="1" displayFolder="" measureGroup="факт_продаж" count="0"/>
    <cacheHierarchy uniqueName="[Measures].[% выполнения плана продаж (кол-во)]" caption="% выполнения плана продаж (кол-во)" measure="1" displayFolder="" measureGroup="факт_продаж" count="0"/>
    <cacheHierarchy uniqueName="[Measures].[Выручка (USD)]" caption="Выручка (USD)" measure="1" displayFolder="" measureGroup="факт_продаж" count="0"/>
    <cacheHierarchy uniqueName="[Measures].[Валовая маржинальная прибыль (USD)]" caption="Валовая маржинальная прибыль (USD)" measure="1" displayFolder="" measureGroup="факт_продаж" count="0"/>
    <cacheHierarchy uniqueName="[Measures].[Курс $ (среднее)]" caption="Курс $ (среднее)" measure="1" displayFolder="" measureGroup="факт_продаж" count="0"/>
    <cacheHierarchy uniqueName="[Measures].[Выручка_руб]" caption="Выручка_руб" measure="1" displayFolder="" measureGroup="факт_продаж" count="0"/>
    <cacheHierarchy uniqueName="[Measures].[Курс_1]" caption="Курс_1" measure="1" displayFolder="" measureGroup="факт_продаж" count="0"/>
    <cacheHierarchy uniqueName="[Measures].[Курс_2]" caption="Курс_2" measure="1" displayFolder="" measureGroup="факт_продаж" count="0"/>
    <cacheHierarchy uniqueName="[Measures].[Бренд1_Ф]" caption="Бренд1_Ф" measure="1" displayFolder="" measureGroup="факт_продаж" count="0"/>
    <cacheHierarchy uniqueName="[Measures].[Бренд2_Ф]" caption="Бренд2_Ф" measure="1" displayFolder="" measureGroup="факт_продаж" count="0"/>
    <cacheHierarchy uniqueName="[Measures].[Бренд1_П]" caption="Бренд1_П" measure="1" displayFolder="" measureGroup="факт_продаж" count="0"/>
    <cacheHierarchy uniqueName="[Measures].[Бренд2_П]" caption="Бренд2_П" measure="1" displayFolder="" measureGroup="факт_продаж" count="0"/>
    <cacheHierarchy uniqueName="[Measures].[% выполнения Плана_Бренд1]" caption="% выполнения Плана_Бренд1" measure="1" displayFolder="" measureGroup="факт_продаж" count="0"/>
    <cacheHierarchy uniqueName="[Measures].[% выполнения Плана_Бренд2]" caption="% выполнения Плана_Бренд2" measure="1" displayFolder="" measureGroup="факт_продаж" count="0"/>
    <cacheHierarchy uniqueName="[Measures].[% выполнения П_Ф]" caption="% выполнения П_Ф" measure="1" displayFolder="" measureGroup="факт_продаж" count="0" oneField="1">
      <fieldsUsage count="1">
        <fieldUsage x="1"/>
      </fieldsUsage>
    </cacheHierarchy>
    <cacheHierarchy uniqueName="[Measures].[__XL_Count Calendar]" caption="__XL_Count Calendar" measure="1" displayFolder="" measureGroup="Calendar" count="0" hidden="1"/>
    <cacheHierarchy uniqueName="[Measures].[__XL_Count факт_продаж]" caption="__XL_Count факт_продаж" measure="1" displayFolder="" measureGroup="факт_продаж" count="0" hidden="1"/>
    <cacheHierarchy uniqueName="[Measures].[__XL_Count план_продаж]" caption="__XL_Count план_продаж" measure="1" displayFolder="" measureGroup="план_продаж" count="0" hidden="1"/>
    <cacheHierarchy uniqueName="[Measures].[__XL_Count справочник брендов]" caption="__XL_Count справочник брендов" measure="1" displayFolder="" measureGroup="справочник брендов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measure="1" name="Measures" uniqueName="[Measures]" caption="Measures"/>
    <dimension name="план_продаж" uniqueName="[план_продаж]" caption="план_продаж"/>
    <dimension name="справочник брендов" uniqueName="[справочник брендов]" caption="справочник брендов"/>
    <dimension name="факт_продаж" uniqueName="[факт_продаж]" caption="факт_продаж"/>
  </dimensions>
  <measureGroups count="4">
    <measureGroup name="Calendar" caption="Calendar"/>
    <measureGroup name="план_продаж" caption="план_продаж"/>
    <measureGroup name="справочник брендов" caption="справочник брендов"/>
    <measureGroup name="факт_продаж" caption="факт_продаж"/>
  </measureGroups>
  <maps count="8">
    <map measureGroup="0" dimension="0"/>
    <map measureGroup="1" dimension="0"/>
    <map measureGroup="1" dimension="2"/>
    <map measureGroup="1" dimension="3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80616524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CAE2-59FE-422F-874C-9AC9640488A7}" name="PivotChartTable2" cacheId="15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5" indent="0" outline="1" outlineData="1" multipleFieldFilters="0" chartFormat="8">
  <location ref="A1:D15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% выполнения План_Факт" fld="1" subtotal="count" baseField="0" baseItem="11"/>
  </dataFields>
  <chartFormats count="3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выполнения План_Факт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%;-0.00%;0.00%"/>
      </x15:pivotTableServerFormats>
    </ext>
    <ext xmlns:x15="http://schemas.microsoft.com/office/spreadsheetml/2010/11/main" uri="{44433962-1CF7-4059-B4EE-95C3D5FFCF73}">
      <x15:pivotTableData rowCount="13" columnCount="3" cacheId="806165248">
        <x15:pivotRow count="3">
          <x15:c>
            <x15:v>0.35350374800343959</x15:v>
            <x15:x in="0"/>
          </x15:c>
          <x15:c>
            <x15:v>0.3862281354390098</x15:v>
            <x15:x in="0"/>
          </x15:c>
          <x15:c>
            <x15:v>0.73973188344244933</x15:v>
            <x15:x in="0"/>
          </x15:c>
        </x15:pivotRow>
        <x15:pivotRow count="3">
          <x15:c>
            <x15:v>0.41269827179267982</x15:v>
            <x15:x in="0"/>
          </x15:c>
          <x15:c>
            <x15:v>0.41886032931908779</x15:v>
            <x15:x in="0"/>
          </x15:c>
          <x15:c>
            <x15:v>0.8315586011117676</x15:v>
            <x15:x in="0"/>
          </x15:c>
        </x15:pivotRow>
        <x15:pivotRow count="3">
          <x15:c>
            <x15:v>0.5665137726672318</x15:v>
            <x15:x in="0"/>
          </x15:c>
          <x15:c>
            <x15:v>0.34260515529332553</x15:v>
            <x15:x in="0"/>
          </x15:c>
          <x15:c>
            <x15:v>0.90911892796055738</x15:v>
            <x15:x in="0"/>
          </x15:c>
        </x15:pivotRow>
        <x15:pivotRow count="3">
          <x15:c>
            <x15:v>0.40072047707144381</x15:v>
            <x15:x in="0"/>
          </x15:c>
          <x15:c>
            <x15:v>0.29271216470735451</x15:v>
            <x15:x in="0"/>
          </x15:c>
          <x15:c>
            <x15:v>0.69343264177879838</x15:v>
            <x15:x in="0"/>
          </x15:c>
        </x15:pivotRow>
        <x15:pivotRow count="3">
          <x15:c>
            <x15:v>0.40468029729145744</x15:v>
            <x15:x in="0"/>
          </x15:c>
          <x15:c>
            <x15:v>0.29913445799954252</x15:v>
            <x15:x in="0"/>
          </x15:c>
          <x15:c>
            <x15:v>0.7038147552909999</x15:v>
            <x15:x in="0"/>
          </x15:c>
        </x15:pivotRow>
        <x15:pivotRow count="3">
          <x15:c>
            <x15:v>0.38765543800988556</x15:v>
            <x15:x in="0"/>
          </x15:c>
          <x15:c>
            <x15:v>0.34006120111373977</x15:v>
            <x15:x in="0"/>
          </x15:c>
          <x15:c>
            <x15:v>0.72771663912362539</x15:v>
            <x15:x in="0"/>
          </x15:c>
        </x15:pivotRow>
        <x15:pivotRow count="3">
          <x15:c>
            <x15:v>0.37079999879138115</x15:v>
            <x15:x in="0"/>
          </x15:c>
          <x15:c>
            <x15:v>0.35261145723392351</x15:v>
            <x15:x in="0"/>
          </x15:c>
          <x15:c>
            <x15:v>0.72341145602530466</x15:v>
            <x15:x in="0"/>
          </x15:c>
        </x15:pivotRow>
        <x15:pivotRow count="3">
          <x15:c>
            <x15:v>0.3615724502948558</x15:v>
            <x15:x in="0"/>
          </x15:c>
          <x15:c>
            <x15:v>0.37207910603600647</x15:v>
            <x15:x in="0"/>
          </x15:c>
          <x15:c>
            <x15:v>0.73365155633086232</x15:v>
            <x15:x in="0"/>
          </x15:c>
        </x15:pivotRow>
        <x15:pivotRow count="3">
          <x15:c>
            <x15:v>0.31360785629390747</x15:v>
            <x15:x in="0"/>
          </x15:c>
          <x15:c>
            <x15:v>0.41107006457302769</x15:v>
            <x15:x in="0"/>
          </x15:c>
          <x15:c>
            <x15:v>0.72467792086693517</x15:v>
            <x15:x in="0"/>
          </x15:c>
        </x15:pivotRow>
        <x15:pivotRow count="3">
          <x15:c>
            <x15:v>0.31841684803160536</x15:v>
            <x15:x in="0"/>
          </x15:c>
          <x15:c>
            <x15:v>0.43322025921940904</x15:v>
            <x15:x in="0"/>
          </x15:c>
          <x15:c>
            <x15:v>0.7516371072510144</x15:v>
            <x15:x in="0"/>
          </x15:c>
        </x15:pivotRow>
        <x15:pivotRow count="3">
          <x15:c>
            <x15:v>0.33961097411438895</x15:v>
            <x15:x in="0"/>
          </x15:c>
          <x15:c>
            <x15:v>0.35262623576415175</x15:v>
            <x15:x in="0"/>
          </x15:c>
          <x15:c>
            <x15:v>0.69223720987854076</x15:v>
            <x15:x in="0"/>
          </x15:c>
        </x15:pivotRow>
        <x15:pivotRow count="3">
          <x15:c>
            <x15:v>0.35383938259368791</x15:v>
            <x15:x in="0"/>
          </x15:c>
          <x15:c>
            <x15:v>0.28773767012134083</x15:v>
            <x15:x in="0"/>
          </x15:c>
          <x15:c>
            <x15:v>0.64157705271502874</x15:v>
            <x15:x in="0"/>
          </x15:c>
        </x15:pivotRow>
        <x15:pivotRow count="3">
          <x15:c>
            <x15:v>0.37521380625504375</x15:v>
            <x15:x in="0"/>
          </x15:c>
          <x15:c>
            <x15:v>0.35340700467272934</x15:v>
            <x15:x in="0"/>
          </x15:c>
          <x15:c>
            <x15:v>0.72862081092777309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факт_продаж]"/>
        <x15:activeTabTopLevelEntity name="[Calendar]"/>
        <x15:activeTabTopLevelEntity name="[справочник брендов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B3F97-B94C-4646-BEBA-421F41FB9DD0}" name="PivotChartTable1" cacheId="96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5" indent="0" outline="1" outlineData="1" multipleFieldFilters="0" chartFormat="25">
  <location ref="A1:C14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_План" fld="1" baseField="0" baseItem="10"/>
    <dataField name="Количество_Факт" fld="2" baseField="0" baseItem="10"/>
  </dataFields>
  <chartFormats count="2"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умма по столбцу Структура продаж по Брендам (%)"/>
    <pivotHierarchy dragToData="1" caption="Число элементов в столбце Структура продаж по Брендам (%)"/>
    <pivotHierarchy dragToData="1" caption="Количество_Факт"/>
    <pivotHierarchy dragToData="1"/>
    <pivotHierarchy dragToData="1" caption="Число элементов в столбце Количество"/>
    <pivotHierarchy dragToData="1"/>
    <pivotHierarchy dragToData="1"/>
    <pivotHierarchy dragToData="1" caption="Количество_План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"/>
      </x15:pivotTableServerFormats>
    </ext>
    <ext xmlns:x15="http://schemas.microsoft.com/office/spreadsheetml/2010/11/main" uri="{44433962-1CF7-4059-B4EE-95C3D5FFCF73}">
      <x15:pivotTableData rowCount="13" columnCount="2" cacheId="21172687">
        <x15:pivotRow count="2">
          <x15:c>
            <x15:v>16721.166538705002</x15:v>
            <x15:x in="0"/>
          </x15:c>
          <x15:c>
            <x15:v>5947.44</x15:v>
            <x15:x in="0"/>
          </x15:c>
        </x15:pivotRow>
        <x15:pivotRow count="2">
          <x15:c>
            <x15:v>18908.555375471034</x15:v>
            <x15:x in="0"/>
          </x15:c>
          <x15:c>
            <x15:v>7811.5389999999998</x15:v>
            <x15:x in="0"/>
          </x15:c>
        </x15:pivotRow>
        <x15:pivotRow count="2">
          <x15:c>
            <x15:v>22906.825722862832</x15:v>
            <x15:x in="0"/>
          </x15:c>
          <x15:c>
            <x15:v>12564.18</x15:v>
            <x15:x in="0"/>
          </x15:c>
        </x15:pivotRow>
        <x15:pivotRow count="2">
          <x15:c>
            <x15:v>24885.477862793228</x15:v>
            <x15:x in="0"/>
          </x15:c>
          <x15:c>
            <x15:v>9745.2070000000003</x15:v>
            <x15:x in="0"/>
          </x15:c>
        </x15:pivotRow>
        <x15:pivotRow count="2">
          <x15:c>
            <x15:v>22807.908412408255</x15:v>
            <x15:x in="0"/>
          </x15:c>
          <x15:c>
            <x15:v>9048.3590000000004</x15:v>
            <x15:x in="0"/>
          </x15:c>
        </x15:pivotRow>
        <x15:pivotRow count="2">
          <x15:c>
            <x15:v>26104.220703989653</x15:v>
            <x15:x in="0"/>
          </x15:c>
          <x15:c>
            <x15:v>10038.646000000001</x15:v>
            <x15:x in="0"/>
          </x15:c>
        </x15:pivotRow>
        <x15:pivotRow count="2">
          <x15:c>
            <x15:v>26981.274221276013</x15:v>
            <x15:x in="0"/>
          </x15:c>
          <x15:c>
            <x15:v>9973.4050000000007</x15:v>
            <x15:x in="0"/>
          </x15:c>
        </x15:pivotRow>
        <x15:pivotRow count="2">
          <x15:c>
            <x15:v>29968.608011399996</x15:v>
            <x15:x in="0"/>
          </x15:c>
          <x15:c>
            <x15:v>10853.49</x15:v>
            <x15:x in="0"/>
          </x15:c>
        </x15:pivotRow>
        <x15:pivotRow count="2">
          <x15:c>
            <x15:v>30560.865616547788</x15:v>
            <x15:x in="0"/>
          </x15:c>
          <x15:c>
            <x15:v>9737.9279999999999</x15:v>
            <x15:x in="0"/>
          </x15:c>
        </x15:pivotRow>
        <x15:pivotRow count="2">
          <x15:c>
            <x15:v>32275.372298838825</x15:v>
            <x15:x in="0"/>
          </x15:c>
          <x15:c>
            <x15:v>10502.76</x15:v>
            <x15:x in="0"/>
          </x15:c>
        </x15:pivotRow>
        <x15:pivotRow count="2">
          <x15:c>
            <x15:v>34432.391405692048</x15:v>
            <x15:x in="0"/>
          </x15:c>
          <x15:c>
            <x15:v>11720.745000000001</x15:v>
            <x15:x in="0"/>
          </x15:c>
        </x15:pivotRow>
        <x15:pivotRow count="2">
          <x15:c>
            <x15:v>34831.405451830353</x15:v>
            <x15:x in="0"/>
          </x15:c>
          <x15:c>
            <x15:v>12189.3</x15:v>
            <x15:x in="0"/>
          </x15:c>
        </x15:pivotRow>
        <x15:pivotRow count="2">
          <x15:c>
            <x15:v>321384.07162181498</x15:v>
            <x15:x in="0"/>
          </x15:c>
          <x15:c>
            <x15:v>120132.999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факт_продаж]"/>
        <x15:activeTabTopLevelEntity name="[план_продаж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9BFA5-38AA-424E-B615-F36E430C3445}" name="Сводная таблица3" cacheId="90" applyNumberFormats="0" applyBorderFormats="0" applyFontFormats="0" applyPatternFormats="0" applyAlignmentFormats="0" applyWidthHeightFormats="1" dataCaption="Значения" tag="c292815a-676e-40d0-a2bb-7639dd017a7c" updatedVersion="8" minRefreshableVersion="3" showDrill="0" useAutoFormatting="1" subtotalHiddenItems="1" rowGrandTotals="0" colGrandTotals="0" itemPrintTitles="1" createdVersion="5" indent="0" compact="0" compactData="0" multipleFieldFilters="0">
  <location ref="A3:I17" firstHeaderRow="1" firstDataRow="3" firstDataCol="1"/>
  <pivotFields count="6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-2"/>
    <field x="4"/>
  </colFields>
  <colItems count="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</colItems>
  <dataFields count="4">
    <dataField fld="1" subtotal="count" baseField="0" baseItem="0"/>
    <dataField name="Стоимость, руб." fld="3" baseField="0" baseItem="0"/>
    <dataField fld="5" subtotal="count" baseField="0" baseItem="0"/>
    <dataField fld="2" subtotal="count" baseField="0" baseItem="0"/>
  </dataFields>
  <formats count="18">
    <format dxfId="60">
      <pivotArea dataOnly="0" outline="0" fieldPosition="0">
        <references count="2">
          <reference field="4294967294" count="1">
            <x v="0"/>
          </reference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4" count="0"/>
        </references>
      </pivotArea>
    </format>
    <format dxfId="58">
      <pivotArea dataOnly="0" outline="0" fieldPosition="0">
        <references count="1">
          <reference field="4294967294" count="1"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-2" type="button" dataOnly="0" labelOnly="1" outline="0" axis="axisCol" fieldPosition="0"/>
    </format>
    <format dxfId="53">
      <pivotArea field="4" type="button" dataOnly="0" labelOnly="1" outline="0" axis="axisCol" fieldPosition="1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outline="0" fieldPosition="0">
        <references count="1">
          <reference field="0" count="0"/>
        </references>
      </pivotArea>
    </format>
    <format dxfId="49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48">
      <pivotArea dataOnly="0" labelOnly="1" outline="0" fieldPosition="0">
        <references count="2">
          <reference field="4294967294" count="1" selected="0">
            <x v="0"/>
          </reference>
          <reference field="4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1"/>
          </reference>
          <reference field="4" count="0"/>
        </references>
      </pivotArea>
    </format>
    <format dxfId="46">
      <pivotArea dataOnly="0" labelOnly="1" outline="0" fieldPosition="0">
        <references count="2">
          <reference field="4294967294" count="1" selected="0">
            <x v="3"/>
          </reference>
          <reference field="4" count="0"/>
        </references>
      </pivotArea>
    </format>
    <format dxfId="45">
      <pivotArea outline="0" fieldPosition="0">
        <references count="2">
          <reference field="4294967294" count="1" selected="0">
            <x v="1"/>
          </reference>
          <reference field="4" count="0" selected="0"/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3"/>
          </reference>
          <reference field="4" count="0"/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тоимость, руб.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Плоский стиль сводного представления" showRowHeaders="1" showColHeaders="1" showRowStripes="1" showColStripes="0" showLastColumn="1"/>
  <rowHierarchiesUsage count="1">
    <rowHierarchyUsage hierarchyUsage="4"/>
  </rowHierarchiesUsage>
  <colHierarchiesUsage count="2">
    <colHierarchyUsage hierarchyUsage="-2"/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факт_продаж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F6024-23C9-4AF6-8423-9811428886EB}" name="Сводная таблица2" cacheId="93" applyNumberFormats="0" applyBorderFormats="0" applyFontFormats="0" applyPatternFormats="0" applyAlignmentFormats="0" applyWidthHeightFormats="1" dataCaption="Значения" tag="6888bcab-ced6-4d21-86e4-1eafd96eb0cb" updatedVersion="8" minRefreshableVersion="3" useAutoFormatting="1" subtotalHiddenItems="1" itemPrintTitles="1" createdVersion="5" indent="0" outline="1" outlineData="1" multipleFieldFilters="0">
  <location ref="M3:N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2">
    <field x="2"/>
    <field x="1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fld="0" subtotal="count" baseField="0" baseItem="0"/>
  </dataFields>
  <formats count="3"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факт_прода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7E532-1E06-4BC4-AFCA-23ABF72A33D5}" name="Сводная таблица1" cacheId="87" applyNumberFormats="0" applyBorderFormats="0" applyFontFormats="0" applyPatternFormats="0" applyAlignmentFormats="0" applyWidthHeightFormats="1" dataCaption="Значения" tag="8a0e364e-0fcf-4d03-95be-60404aca3711" updatedVersion="8" minRefreshableVersion="3" useAutoFormatting="1" subtotalHiddenItems="1" itemPrintTitles="1" createdVersion="5" indent="0" outline="1" outlineData="1" multipleFieldFilters="0">
  <location ref="B3:D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0" subtotal="count" baseField="0" baseItem="0"/>
  </dataFields>
  <formats count="6"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справочник брендов]"/>
        <x15:activeTabTopLevelEntity name="[факт_продаж]"/>
        <x15:activeTabTopLevelEntity name="[Calendar]"/>
        <x15:activeTabTopLevelEntity name="[план_прода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7E34630-009D-4A29-A039-BDEF1831C71A}" autoFormatId="16" applyNumberFormats="0" applyBorderFormats="0" applyFontFormats="0" applyPatternFormats="0" applyAlignmentFormats="0" applyWidthHeightFormats="0">
  <queryTableRefresh nextId="8">
    <queryTableFields count="4">
      <queryTableField id="1" name="Товарная группа" tableColumnId="1"/>
      <queryTableField id="5" name="Бренд" tableColumnId="5"/>
      <queryTableField id="2" name="Дата" tableColumnId="2"/>
      <queryTableField id="6" name="Количество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20D7CCBE-CCBA-4AE9-A44C-DFA5DEB1E5F7}" autoFormatId="16" applyNumberFormats="0" applyBorderFormats="0" applyFontFormats="0" applyPatternFormats="0" applyAlignmentFormats="0" applyWidthHeightFormats="0">
  <queryTableRefresh nextId="16">
    <queryTableFields count="10">
      <queryTableField id="1" name="Товарная группа" tableColumnId="1"/>
      <queryTableField id="2" name="Бренд" tableColumnId="2"/>
      <queryTableField id="3" name="Дата" tableColumnId="3"/>
      <queryTableField id="12" name="Количество_План" tableColumnId="11"/>
      <queryTableField id="13" name="Количество_Факт" tableColumnId="12"/>
      <queryTableField id="5" name="Сумма продажи в USD" tableColumnId="5"/>
      <queryTableField id="6" name="Стоимость, руб." tableColumnId="6"/>
      <queryTableField id="7" name="Себестоимость USD" tableColumnId="7"/>
      <queryTableField id="8" name="Маржинальный доход в USD" tableColumnId="8"/>
      <queryTableField id="9" name="Цена продажи в US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E47D9292-B831-45C4-92A0-F0257F4117DA}" autoFormatId="16" applyNumberFormats="0" applyBorderFormats="0" applyFontFormats="0" applyPatternFormats="0" applyAlignmentFormats="0" applyWidthHeightFormats="0">
  <queryTableRefresh nextId="2">
    <queryTableFields count="1">
      <queryTableField id="1" name="Бренд" tableColumnId="1"/>
    </queryTableFields>
  </queryTableRefresh>
  <extLst>
    <ext xmlns:x15="http://schemas.microsoft.com/office/spreadsheetml/2010/11/main" uri="{883FBD77-0823-4a55-B5E3-86C4891E6966}">
      <x15:queryTable sourceDataName="Запрос — справочник брендов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1E959-A033-4CED-B630-5542118C8C44}" name="план_продаж" displayName="план_продаж" ref="A1:D25" tableType="queryTable" totalsRowShown="0">
  <autoFilter ref="A1:D25" xr:uid="{95C1E959-A033-4CED-B630-5542118C8C44}"/>
  <tableColumns count="4">
    <tableColumn id="1" xr3:uid="{C5259C47-23B5-40C0-B234-608B5622EB2F}" uniqueName="1" name="Товарная группа" queryTableFieldId="1" dataDxfId="33"/>
    <tableColumn id="5" xr3:uid="{44C8FDAD-2978-4948-BD08-9898A95B93BA}" uniqueName="5" name="Бренд" queryTableFieldId="5" dataDxfId="32"/>
    <tableColumn id="2" xr3:uid="{7AFA8A26-AE41-4EB7-A5CE-C7D8AA05726F}" uniqueName="2" name="Дата" queryTableFieldId="2" dataDxfId="31"/>
    <tableColumn id="6" xr3:uid="{F807078B-BA1C-4A09-B690-3D1D0795E530}" uniqueName="6" name="Количество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00CEE9-C6C7-46FD-8EF3-634B363DD1A4}" name="факт_продаж" displayName="факт_продаж" ref="A1:J25" tableType="queryTable" totalsRowShown="0">
  <autoFilter ref="A1:J25" xr:uid="{9900CEE9-C6C7-46FD-8EF3-634B363DD1A4}"/>
  <tableColumns count="10">
    <tableColumn id="1" xr3:uid="{D4FD4F6D-6435-46E8-B185-221E373DF92E}" uniqueName="1" name="Товарная группа" queryTableFieldId="1" dataDxfId="30"/>
    <tableColumn id="2" xr3:uid="{FDDA7C59-F018-4B96-865F-77FF69D68632}" uniqueName="2" name="Бренд" queryTableFieldId="2" dataDxfId="29"/>
    <tableColumn id="3" xr3:uid="{B2DE9508-741E-4473-9912-5E88EA158D54}" uniqueName="3" name="Дата" queryTableFieldId="3" dataDxfId="28"/>
    <tableColumn id="11" xr3:uid="{D287B50F-4899-43AF-A23B-0D56C38DF695}" uniqueName="11" name="Количество_План" queryTableFieldId="12"/>
    <tableColumn id="12" xr3:uid="{9A85B848-F8DB-4DEA-BCA1-B0CE6F8029B2}" uniqueName="12" name="Количество_Факт" queryTableFieldId="13"/>
    <tableColumn id="5" xr3:uid="{FBF93838-83B6-4829-827B-0E4068355CB1}" uniqueName="5" name="Сумма продажи в USD" queryTableFieldId="5"/>
    <tableColumn id="6" xr3:uid="{4E7A500D-5949-48EB-9D18-F8F4F20DF2CA}" uniqueName="6" name="Стоимость, руб." queryTableFieldId="6"/>
    <tableColumn id="7" xr3:uid="{ECC5E05C-8B6A-4EEC-A71C-46D5650E86D9}" uniqueName="7" name="Себестоимость USD" queryTableFieldId="7"/>
    <tableColumn id="8" xr3:uid="{711B04E5-0F5F-427D-83A6-A91A5ADD074A}" uniqueName="8" name="Маржинальный доход в USD" queryTableFieldId="8"/>
    <tableColumn id="9" xr3:uid="{143070F7-87C1-4CF8-98B4-899C90B31748}" uniqueName="9" name="Цена продажи в USD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73F0EC-45F4-4253-AC9B-40AAC25C3D07}" name="справочник_брендов" displayName="справочник_брендов" ref="A1:A3" tableType="queryTable" totalsRowShown="0">
  <autoFilter ref="A1:A3" xr:uid="{B473F0EC-45F4-4253-AC9B-40AAC25C3D07}"/>
  <tableColumns count="1">
    <tableColumn id="1" xr3:uid="{D76E150D-9264-4C7A-B774-6C732A853056}" uniqueName="1" name="Бренд" queryTableFieldId="1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AD61-5563-4760-BEE4-47870D3FB56E}">
  <dimension ref="A3:K17"/>
  <sheetViews>
    <sheetView zoomScaleNormal="100" workbookViewId="0">
      <selection activeCell="A3" sqref="A3"/>
    </sheetView>
  </sheetViews>
  <sheetFormatPr defaultRowHeight="15" x14ac:dyDescent="0.25"/>
  <cols>
    <col min="1" max="1" width="9.5703125" style="7" bestFit="1" customWidth="1"/>
    <col min="2" max="9" width="18.85546875" style="7" bestFit="1" customWidth="1"/>
    <col min="10" max="11" width="16.28515625" style="7" bestFit="1" customWidth="1"/>
    <col min="12" max="12" width="12.42578125" style="7" bestFit="1" customWidth="1"/>
    <col min="13" max="13" width="33" style="7" bestFit="1" customWidth="1"/>
    <col min="14" max="24" width="13.5703125" style="7" bestFit="1" customWidth="1"/>
    <col min="25" max="25" width="36.5703125" style="7" bestFit="1" customWidth="1"/>
    <col min="26" max="26" width="8.85546875" style="7" bestFit="1" customWidth="1"/>
    <col min="27" max="27" width="7.140625" style="7" bestFit="1" customWidth="1"/>
    <col min="28" max="28" width="7.85546875" style="7" bestFit="1" customWidth="1"/>
    <col min="29" max="32" width="7.140625" style="7" bestFit="1" customWidth="1"/>
    <col min="33" max="33" width="9.5703125" style="7" bestFit="1" customWidth="1"/>
    <col min="34" max="34" width="8.5703125" style="7" bestFit="1" customWidth="1"/>
    <col min="35" max="35" width="7.7109375" style="7" bestFit="1" customWidth="1"/>
    <col min="36" max="36" width="8.85546875" style="7" bestFit="1" customWidth="1"/>
    <col min="37" max="37" width="16.28515625" style="7" bestFit="1" customWidth="1"/>
    <col min="38" max="38" width="8.85546875" style="7" bestFit="1" customWidth="1"/>
    <col min="39" max="39" width="8.140625" style="7" bestFit="1" customWidth="1"/>
    <col min="40" max="40" width="7.85546875" style="7" bestFit="1" customWidth="1"/>
    <col min="41" max="44" width="7.140625" style="7" bestFit="1" customWidth="1"/>
    <col min="45" max="45" width="9.5703125" style="7" bestFit="1" customWidth="1"/>
    <col min="46" max="46" width="8.5703125" style="7" bestFit="1" customWidth="1"/>
    <col min="47" max="47" width="7.7109375" style="7" bestFit="1" customWidth="1"/>
    <col min="48" max="48" width="8.85546875" style="7" bestFit="1" customWidth="1"/>
    <col min="49" max="16384" width="9.140625" style="7"/>
  </cols>
  <sheetData>
    <row r="3" spans="1:11" x14ac:dyDescent="0.25">
      <c r="B3" s="10" t="s">
        <v>31</v>
      </c>
      <c r="C3" s="10" t="s">
        <v>0</v>
      </c>
      <c r="J3"/>
      <c r="K3"/>
    </row>
    <row r="4" spans="1:11" x14ac:dyDescent="0.25">
      <c r="B4" s="7" t="s">
        <v>29</v>
      </c>
      <c r="D4" s="13" t="s">
        <v>5</v>
      </c>
      <c r="E4" s="13"/>
      <c r="F4" s="7" t="s">
        <v>34</v>
      </c>
      <c r="H4" s="7" t="s">
        <v>30</v>
      </c>
      <c r="J4"/>
      <c r="K4"/>
    </row>
    <row r="5" spans="1:11" x14ac:dyDescent="0.25">
      <c r="A5" s="10" t="s">
        <v>16</v>
      </c>
      <c r="B5" s="7" t="s">
        <v>1</v>
      </c>
      <c r="C5" s="7" t="s">
        <v>2</v>
      </c>
      <c r="D5" s="11" t="s">
        <v>1</v>
      </c>
      <c r="E5" s="11" t="s">
        <v>2</v>
      </c>
      <c r="F5" s="7" t="s">
        <v>1</v>
      </c>
      <c r="G5" s="7" t="s">
        <v>2</v>
      </c>
      <c r="H5" s="11" t="s">
        <v>1</v>
      </c>
      <c r="I5" s="11" t="s">
        <v>2</v>
      </c>
      <c r="J5"/>
      <c r="K5"/>
    </row>
    <row r="6" spans="1:11" x14ac:dyDescent="0.25">
      <c r="A6" s="7" t="s">
        <v>17</v>
      </c>
      <c r="B6" s="6">
        <v>2019417.42</v>
      </c>
      <c r="C6" s="6">
        <v>138494.43</v>
      </c>
      <c r="D6" s="12">
        <v>154587255</v>
      </c>
      <c r="E6" s="12">
        <v>10600767</v>
      </c>
      <c r="F6" s="16">
        <v>0.35350374800343959</v>
      </c>
      <c r="G6" s="16">
        <v>0.3862281354390098</v>
      </c>
      <c r="H6" s="15">
        <v>76.550421655766442</v>
      </c>
      <c r="I6" s="15">
        <v>76.54291223119948</v>
      </c>
      <c r="J6"/>
      <c r="K6"/>
    </row>
    <row r="7" spans="1:11" x14ac:dyDescent="0.25">
      <c r="A7" s="7" t="s">
        <v>18</v>
      </c>
      <c r="B7" s="6">
        <v>2699559.59</v>
      </c>
      <c r="C7" s="6">
        <v>181414.32</v>
      </c>
      <c r="D7" s="12">
        <v>209330595</v>
      </c>
      <c r="E7" s="12">
        <v>14175799</v>
      </c>
      <c r="F7" s="16">
        <v>0.41269827179267982</v>
      </c>
      <c r="G7" s="16">
        <v>0.41886032931908779</v>
      </c>
      <c r="H7" s="15">
        <v>77.542498330255427</v>
      </c>
      <c r="I7" s="15">
        <v>78.14046322252841</v>
      </c>
      <c r="J7"/>
      <c r="K7"/>
    </row>
    <row r="8" spans="1:11" x14ac:dyDescent="0.25">
      <c r="A8" s="7" t="s">
        <v>19</v>
      </c>
      <c r="B8" s="6">
        <v>4571442.3899999997</v>
      </c>
      <c r="C8" s="6">
        <v>240697.31</v>
      </c>
      <c r="D8" s="12">
        <v>467200547</v>
      </c>
      <c r="E8" s="12">
        <v>25017511</v>
      </c>
      <c r="F8" s="16">
        <v>0.5665137726672318</v>
      </c>
      <c r="G8" s="16">
        <v>0.34260515529332553</v>
      </c>
      <c r="H8" s="15">
        <v>102.19981072538465</v>
      </c>
      <c r="I8" s="15">
        <v>103.93764267660491</v>
      </c>
      <c r="J8"/>
      <c r="K8"/>
    </row>
    <row r="9" spans="1:11" x14ac:dyDescent="0.25">
      <c r="A9" s="7" t="s">
        <v>20</v>
      </c>
      <c r="B9" s="6">
        <v>3734175.75</v>
      </c>
      <c r="C9" s="6">
        <v>240412.24</v>
      </c>
      <c r="D9" s="12">
        <v>292544844</v>
      </c>
      <c r="E9" s="12">
        <v>18857243</v>
      </c>
      <c r="F9" s="16">
        <v>0.40072047707144381</v>
      </c>
      <c r="G9" s="16">
        <v>0.29271216470735451</v>
      </c>
      <c r="H9" s="15">
        <v>78.342548285254111</v>
      </c>
      <c r="I9" s="15">
        <v>78.437117012012365</v>
      </c>
      <c r="J9"/>
      <c r="K9"/>
    </row>
    <row r="10" spans="1:11" x14ac:dyDescent="0.25">
      <c r="A10" s="7" t="s">
        <v>21</v>
      </c>
      <c r="B10" s="6">
        <v>3425012.64</v>
      </c>
      <c r="C10" s="6">
        <v>213474.38</v>
      </c>
      <c r="D10" s="12">
        <v>217256034</v>
      </c>
      <c r="E10" s="12">
        <v>13507836</v>
      </c>
      <c r="F10" s="16">
        <v>0.40468029729145744</v>
      </c>
      <c r="G10" s="16">
        <v>0.29913445799954252</v>
      </c>
      <c r="H10" s="15">
        <v>63.432184588959643</v>
      </c>
      <c r="I10" s="15">
        <v>63.276145830708117</v>
      </c>
      <c r="J10"/>
      <c r="K10"/>
    </row>
    <row r="11" spans="1:11" x14ac:dyDescent="0.25">
      <c r="A11" s="7" t="s">
        <v>22</v>
      </c>
      <c r="B11" s="6">
        <v>4243841.33</v>
      </c>
      <c r="C11" s="6">
        <v>264547.5</v>
      </c>
      <c r="D11" s="12">
        <v>239312387</v>
      </c>
      <c r="E11" s="12">
        <v>15017097</v>
      </c>
      <c r="F11" s="16">
        <v>0.38765543800988556</v>
      </c>
      <c r="G11" s="16">
        <v>0.34006120111373977</v>
      </c>
      <c r="H11" s="15">
        <v>56.390512366304705</v>
      </c>
      <c r="I11" s="15">
        <v>56.765219856547503</v>
      </c>
      <c r="J11"/>
      <c r="K11"/>
    </row>
    <row r="12" spans="1:11" x14ac:dyDescent="0.25">
      <c r="A12" s="7" t="s">
        <v>23</v>
      </c>
      <c r="B12" s="6">
        <v>4173678.96</v>
      </c>
      <c r="C12" s="6">
        <v>256009.24</v>
      </c>
      <c r="D12" s="12">
        <v>242680028</v>
      </c>
      <c r="E12" s="12">
        <v>14874937</v>
      </c>
      <c r="F12" s="16">
        <v>0.37079999879138115</v>
      </c>
      <c r="G12" s="16">
        <v>0.35261145723392351</v>
      </c>
      <c r="H12" s="15">
        <v>58.145350978312905</v>
      </c>
      <c r="I12" s="15">
        <v>58.103125496564111</v>
      </c>
      <c r="J12"/>
      <c r="K12"/>
    </row>
    <row r="13" spans="1:11" x14ac:dyDescent="0.25">
      <c r="A13" s="7" t="s">
        <v>24</v>
      </c>
      <c r="B13" s="6">
        <v>4315666.46</v>
      </c>
      <c r="C13" s="6">
        <v>262105.64</v>
      </c>
      <c r="D13" s="12">
        <v>260714326</v>
      </c>
      <c r="E13" s="12">
        <v>15831875</v>
      </c>
      <c r="F13" s="16">
        <v>0.3615724502948558</v>
      </c>
      <c r="G13" s="16">
        <v>0.37207910603600647</v>
      </c>
      <c r="H13" s="15">
        <v>60.411138909006418</v>
      </c>
      <c r="I13" s="15">
        <v>60.402649099805707</v>
      </c>
      <c r="J13"/>
      <c r="K13"/>
    </row>
    <row r="14" spans="1:11" x14ac:dyDescent="0.25">
      <c r="A14" s="7" t="s">
        <v>25</v>
      </c>
      <c r="B14" s="6">
        <v>3983125.81</v>
      </c>
      <c r="C14" s="6">
        <v>259236.99</v>
      </c>
      <c r="D14" s="12">
        <v>237844588</v>
      </c>
      <c r="E14" s="12">
        <v>15556376</v>
      </c>
      <c r="F14" s="16">
        <v>0.31360785629390747</v>
      </c>
      <c r="G14" s="16">
        <v>0.41107006457302769</v>
      </c>
      <c r="H14" s="15">
        <v>59.713049334989499</v>
      </c>
      <c r="I14" s="15">
        <v>60.008319028854643</v>
      </c>
      <c r="J14"/>
      <c r="K14"/>
    </row>
    <row r="15" spans="1:11" x14ac:dyDescent="0.25">
      <c r="A15" s="7" t="s">
        <v>26</v>
      </c>
      <c r="B15" s="6">
        <v>3958269.33</v>
      </c>
      <c r="C15" s="6">
        <v>295027.69</v>
      </c>
      <c r="D15" s="12">
        <v>241895781</v>
      </c>
      <c r="E15" s="12">
        <v>18023631</v>
      </c>
      <c r="F15" s="16">
        <v>0.31841684803160536</v>
      </c>
      <c r="G15" s="16">
        <v>0.43322025921940904</v>
      </c>
      <c r="H15" s="15">
        <v>61.111501222682087</v>
      </c>
      <c r="I15" s="15">
        <v>61.091319936782881</v>
      </c>
      <c r="J15"/>
      <c r="K15"/>
    </row>
    <row r="16" spans="1:11" x14ac:dyDescent="0.25">
      <c r="A16" s="7" t="s">
        <v>27</v>
      </c>
      <c r="B16" s="6">
        <v>4722404.3099999996</v>
      </c>
      <c r="C16" s="6">
        <v>285595.46999999997</v>
      </c>
      <c r="D16" s="12">
        <v>287353211</v>
      </c>
      <c r="E16" s="12">
        <v>17391377</v>
      </c>
      <c r="F16" s="16">
        <v>0.33961097411438895</v>
      </c>
      <c r="G16" s="16">
        <v>0.35262623576415175</v>
      </c>
      <c r="H16" s="15">
        <v>60.848921891653966</v>
      </c>
      <c r="I16" s="15">
        <v>60.895143049712942</v>
      </c>
      <c r="J16"/>
      <c r="K16"/>
    </row>
    <row r="17" spans="1:11" x14ac:dyDescent="0.25">
      <c r="A17" s="7" t="s">
        <v>28</v>
      </c>
      <c r="B17" s="6">
        <v>4567059.05</v>
      </c>
      <c r="C17" s="6">
        <v>250165.7</v>
      </c>
      <c r="D17" s="12">
        <v>299884772</v>
      </c>
      <c r="E17" s="12">
        <v>16320386</v>
      </c>
      <c r="F17" s="16">
        <v>0.35383938259368791</v>
      </c>
      <c r="G17" s="16">
        <v>0.28773767012134083</v>
      </c>
      <c r="H17" s="15">
        <v>65.662556300864992</v>
      </c>
      <c r="I17" s="15">
        <v>65.238304052074284</v>
      </c>
      <c r="J17"/>
      <c r="K17"/>
    </row>
  </sheetData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D500-7DD7-4C7A-A444-7671D03F4FE7}">
  <dimension ref="M3:N7"/>
  <sheetViews>
    <sheetView workbookViewId="0">
      <selection activeCell="B3" sqref="B3"/>
    </sheetView>
  </sheetViews>
  <sheetFormatPr defaultRowHeight="15" x14ac:dyDescent="0.25"/>
  <cols>
    <col min="13" max="13" width="19.140625" bestFit="1" customWidth="1"/>
    <col min="14" max="14" width="30" bestFit="1" customWidth="1"/>
    <col min="15" max="15" width="11.85546875" bestFit="1" customWidth="1"/>
  </cols>
  <sheetData>
    <row r="3" spans="13:14" ht="30" x14ac:dyDescent="0.25">
      <c r="M3" s="2" t="s">
        <v>12</v>
      </c>
      <c r="N3" s="4" t="s">
        <v>15</v>
      </c>
    </row>
    <row r="4" spans="13:14" x14ac:dyDescent="0.25">
      <c r="M4" s="3" t="s">
        <v>9</v>
      </c>
      <c r="N4" s="14"/>
    </row>
    <row r="5" spans="13:14" x14ac:dyDescent="0.25">
      <c r="M5" s="9" t="s">
        <v>1</v>
      </c>
      <c r="N5" s="8">
        <v>10227.838</v>
      </c>
    </row>
    <row r="6" spans="13:14" x14ac:dyDescent="0.25">
      <c r="M6" s="9" t="s">
        <v>2</v>
      </c>
      <c r="N6" s="8">
        <v>625.65200000000004</v>
      </c>
    </row>
    <row r="7" spans="13:14" x14ac:dyDescent="0.25">
      <c r="M7" s="3" t="s">
        <v>13</v>
      </c>
      <c r="N7" s="8">
        <v>10853.49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19CA-C320-4F02-AED8-17D6D464DF36}">
  <dimension ref="A1"/>
  <sheetViews>
    <sheetView workbookViewId="0">
      <selection activeCell="P28" sqref="P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0C60-DA15-4565-9716-9121918639BB}">
  <dimension ref="B3:F10"/>
  <sheetViews>
    <sheetView tabSelected="1" workbookViewId="0">
      <selection activeCell="B3" sqref="B3"/>
    </sheetView>
  </sheetViews>
  <sheetFormatPr defaultRowHeight="15" x14ac:dyDescent="0.25"/>
  <cols>
    <col min="1" max="1" width="9.140625" style="7"/>
    <col min="2" max="2" width="17.28515625" style="7" bestFit="1" customWidth="1"/>
    <col min="3" max="3" width="19.140625" style="7" bestFit="1" customWidth="1"/>
    <col min="4" max="4" width="15" style="7" bestFit="1" customWidth="1"/>
    <col min="5" max="5" width="14" style="7" bestFit="1" customWidth="1"/>
    <col min="6" max="6" width="13.85546875" style="7" bestFit="1" customWidth="1"/>
    <col min="7" max="16384" width="9.140625" style="7"/>
  </cols>
  <sheetData>
    <row r="3" spans="2:6" s="4" customFormat="1" ht="45" x14ac:dyDescent="0.25">
      <c r="B3" s="10" t="s">
        <v>12</v>
      </c>
      <c r="C3" s="7" t="s">
        <v>34</v>
      </c>
      <c r="D3" s="4" t="s">
        <v>14</v>
      </c>
      <c r="E3"/>
      <c r="F3"/>
    </row>
    <row r="4" spans="2:6" x14ac:dyDescent="0.25">
      <c r="B4" s="5" t="s">
        <v>1</v>
      </c>
      <c r="C4" s="16">
        <v>0.37521380625504375</v>
      </c>
      <c r="D4" s="6">
        <v>18614862.300000001</v>
      </c>
      <c r="E4"/>
      <c r="F4"/>
    </row>
    <row r="5" spans="2:6" x14ac:dyDescent="0.25">
      <c r="B5" s="5" t="s">
        <v>2</v>
      </c>
      <c r="C5" s="16">
        <v>0.35340700467272934</v>
      </c>
      <c r="D5" s="6">
        <v>1441514.35</v>
      </c>
      <c r="E5"/>
      <c r="F5"/>
    </row>
    <row r="6" spans="2:6" x14ac:dyDescent="0.25">
      <c r="B6" s="5" t="s">
        <v>13</v>
      </c>
      <c r="C6" s="16">
        <v>0.72862081092777309</v>
      </c>
      <c r="D6" s="6">
        <v>20056376.649999999</v>
      </c>
      <c r="E6"/>
      <c r="F6"/>
    </row>
    <row r="7" spans="2:6" x14ac:dyDescent="0.25">
      <c r="B7"/>
      <c r="C7"/>
      <c r="D7"/>
      <c r="E7"/>
      <c r="F7"/>
    </row>
    <row r="8" spans="2:6" x14ac:dyDescent="0.25">
      <c r="B8"/>
      <c r="C8"/>
      <c r="D8"/>
      <c r="E8"/>
      <c r="F8"/>
    </row>
    <row r="9" spans="2:6" x14ac:dyDescent="0.25">
      <c r="B9"/>
      <c r="C9"/>
      <c r="D9"/>
      <c r="E9"/>
      <c r="F9"/>
    </row>
    <row r="10" spans="2:6" x14ac:dyDescent="0.25">
      <c r="B10"/>
      <c r="C10"/>
      <c r="D10"/>
      <c r="E10"/>
      <c r="F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5DD9-75FF-4562-BE11-C2243C6B2130}">
  <dimension ref="A1:D25"/>
  <sheetViews>
    <sheetView workbookViewId="0">
      <selection sqref="A1:D25"/>
    </sheetView>
  </sheetViews>
  <sheetFormatPr defaultRowHeight="15" x14ac:dyDescent="0.25"/>
  <cols>
    <col min="1" max="1" width="18.42578125" bestFit="1" customWidth="1"/>
    <col min="2" max="2" width="9.140625" bestFit="1" customWidth="1"/>
    <col min="3" max="3" width="10.140625" customWidth="1"/>
    <col min="4" max="4" width="13.85546875" bestFit="1" customWidth="1"/>
    <col min="5" max="7" width="12" customWidth="1"/>
    <col min="8" max="8" width="12" bestFit="1" customWidth="1"/>
  </cols>
  <sheetData>
    <row r="1" spans="1:4" x14ac:dyDescent="0.25">
      <c r="A1" t="s">
        <v>11</v>
      </c>
      <c r="B1" t="s">
        <v>0</v>
      </c>
      <c r="C1" t="s">
        <v>10</v>
      </c>
      <c r="D1" t="s">
        <v>3</v>
      </c>
    </row>
    <row r="2" spans="1:4" x14ac:dyDescent="0.25">
      <c r="A2" t="s">
        <v>9</v>
      </c>
      <c r="B2" t="s">
        <v>1</v>
      </c>
      <c r="C2" s="1">
        <v>44562</v>
      </c>
      <c r="D2">
        <v>15607.472427552075</v>
      </c>
    </row>
    <row r="3" spans="1:4" x14ac:dyDescent="0.25">
      <c r="A3" t="s">
        <v>9</v>
      </c>
      <c r="B3" t="s">
        <v>1</v>
      </c>
      <c r="C3" s="1">
        <v>44593</v>
      </c>
      <c r="D3">
        <v>17608.522973535983</v>
      </c>
    </row>
    <row r="4" spans="1:4" x14ac:dyDescent="0.25">
      <c r="A4" t="s">
        <v>9</v>
      </c>
      <c r="B4" t="s">
        <v>1</v>
      </c>
      <c r="C4" s="1">
        <v>44621</v>
      </c>
      <c r="D4">
        <v>21062.983065389817</v>
      </c>
    </row>
    <row r="5" spans="1:4" x14ac:dyDescent="0.25">
      <c r="A5" t="s">
        <v>9</v>
      </c>
      <c r="B5" t="s">
        <v>1</v>
      </c>
      <c r="C5" s="1">
        <v>44652</v>
      </c>
      <c r="D5">
        <v>22784.588066788965</v>
      </c>
    </row>
    <row r="6" spans="1:4" x14ac:dyDescent="0.25">
      <c r="A6" t="s">
        <v>9</v>
      </c>
      <c r="B6" t="s">
        <v>1</v>
      </c>
      <c r="C6" s="1">
        <v>44682</v>
      </c>
      <c r="D6">
        <v>21087.782274346329</v>
      </c>
    </row>
    <row r="7" spans="1:4" x14ac:dyDescent="0.25">
      <c r="A7" t="s">
        <v>9</v>
      </c>
      <c r="B7" t="s">
        <v>1</v>
      </c>
      <c r="C7" s="1">
        <v>44713</v>
      </c>
      <c r="D7">
        <v>24406.596870075966</v>
      </c>
    </row>
    <row r="8" spans="1:4" x14ac:dyDescent="0.25">
      <c r="A8" t="s">
        <v>9</v>
      </c>
      <c r="B8" t="s">
        <v>1</v>
      </c>
      <c r="C8" s="1">
        <v>44743</v>
      </c>
      <c r="D8">
        <v>25263.079909744967</v>
      </c>
    </row>
    <row r="9" spans="1:4" x14ac:dyDescent="0.25">
      <c r="A9" t="s">
        <v>9</v>
      </c>
      <c r="B9" t="s">
        <v>1</v>
      </c>
      <c r="C9" s="1">
        <v>44774</v>
      </c>
      <c r="D9">
        <v>28287.105368949939</v>
      </c>
    </row>
    <row r="10" spans="1:4" x14ac:dyDescent="0.25">
      <c r="A10" t="s">
        <v>9</v>
      </c>
      <c r="B10" t="s">
        <v>1</v>
      </c>
      <c r="C10" s="1">
        <v>44805</v>
      </c>
      <c r="D10">
        <v>28982.813464601903</v>
      </c>
    </row>
    <row r="11" spans="1:4" x14ac:dyDescent="0.25">
      <c r="A11" t="s">
        <v>9</v>
      </c>
      <c r="B11" t="s">
        <v>1</v>
      </c>
      <c r="C11" s="1">
        <v>44835</v>
      </c>
      <c r="D11">
        <v>30309.074597215003</v>
      </c>
    </row>
    <row r="12" spans="1:4" x14ac:dyDescent="0.25">
      <c r="A12" t="s">
        <v>9</v>
      </c>
      <c r="B12" t="s">
        <v>1</v>
      </c>
      <c r="C12" s="1">
        <v>44866</v>
      </c>
      <c r="D12">
        <v>32348.144899168452</v>
      </c>
    </row>
    <row r="13" spans="1:4" x14ac:dyDescent="0.25">
      <c r="A13" t="s">
        <v>9</v>
      </c>
      <c r="B13" t="s">
        <v>1</v>
      </c>
      <c r="C13" s="1">
        <v>44896</v>
      </c>
      <c r="D13">
        <v>32782.699073720709</v>
      </c>
    </row>
    <row r="14" spans="1:4" x14ac:dyDescent="0.25">
      <c r="A14" t="s">
        <v>9</v>
      </c>
      <c r="B14" t="s">
        <v>2</v>
      </c>
      <c r="C14" s="1">
        <v>44562</v>
      </c>
      <c r="D14">
        <v>1113.6941111529261</v>
      </c>
    </row>
    <row r="15" spans="1:4" x14ac:dyDescent="0.25">
      <c r="A15" t="s">
        <v>9</v>
      </c>
      <c r="B15" t="s">
        <v>2</v>
      </c>
      <c r="C15" s="1">
        <v>44593</v>
      </c>
      <c r="D15">
        <v>1300.0324019350508</v>
      </c>
    </row>
    <row r="16" spans="1:4" x14ac:dyDescent="0.25">
      <c r="A16" t="s">
        <v>9</v>
      </c>
      <c r="B16" t="s">
        <v>2</v>
      </c>
      <c r="C16" s="1">
        <v>44621</v>
      </c>
      <c r="D16">
        <v>1843.842657473014</v>
      </c>
    </row>
    <row r="17" spans="1:4" x14ac:dyDescent="0.25">
      <c r="A17" t="s">
        <v>9</v>
      </c>
      <c r="B17" t="s">
        <v>2</v>
      </c>
      <c r="C17" s="1">
        <v>44652</v>
      </c>
      <c r="D17">
        <v>2100.8897960042623</v>
      </c>
    </row>
    <row r="18" spans="1:4" x14ac:dyDescent="0.25">
      <c r="A18" t="s">
        <v>9</v>
      </c>
      <c r="B18" t="s">
        <v>2</v>
      </c>
      <c r="C18" s="1">
        <v>44682</v>
      </c>
      <c r="D18">
        <v>1720.1261380619244</v>
      </c>
    </row>
    <row r="19" spans="1:4" x14ac:dyDescent="0.25">
      <c r="A19" t="s">
        <v>9</v>
      </c>
      <c r="B19" t="s">
        <v>2</v>
      </c>
      <c r="C19" s="1">
        <v>44713</v>
      </c>
      <c r="D19">
        <v>1697.6238339136862</v>
      </c>
    </row>
    <row r="20" spans="1:4" x14ac:dyDescent="0.25">
      <c r="A20" t="s">
        <v>9</v>
      </c>
      <c r="B20" t="s">
        <v>2</v>
      </c>
      <c r="C20" s="1">
        <v>44743</v>
      </c>
      <c r="D20">
        <v>1718.194311531046</v>
      </c>
    </row>
    <row r="21" spans="1:4" x14ac:dyDescent="0.25">
      <c r="A21" t="s">
        <v>9</v>
      </c>
      <c r="B21" t="s">
        <v>2</v>
      </c>
      <c r="C21" s="1">
        <v>44774</v>
      </c>
      <c r="D21">
        <v>1681.5026424500577</v>
      </c>
    </row>
    <row r="22" spans="1:4" x14ac:dyDescent="0.25">
      <c r="A22" t="s">
        <v>9</v>
      </c>
      <c r="B22" t="s">
        <v>2</v>
      </c>
      <c r="C22" s="1">
        <v>44805</v>
      </c>
      <c r="D22">
        <v>1578.0521519458846</v>
      </c>
    </row>
    <row r="23" spans="1:4" x14ac:dyDescent="0.25">
      <c r="A23" t="s">
        <v>9</v>
      </c>
      <c r="B23" t="s">
        <v>2</v>
      </c>
      <c r="C23" s="1">
        <v>44835</v>
      </c>
      <c r="D23">
        <v>1966.2977016238212</v>
      </c>
    </row>
    <row r="24" spans="1:4" x14ac:dyDescent="0.25">
      <c r="A24" t="s">
        <v>9</v>
      </c>
      <c r="B24" t="s">
        <v>2</v>
      </c>
      <c r="C24" s="1">
        <v>44866</v>
      </c>
      <c r="D24">
        <v>2084.2465065235983</v>
      </c>
    </row>
    <row r="25" spans="1:4" x14ac:dyDescent="0.25">
      <c r="A25" t="s">
        <v>9</v>
      </c>
      <c r="B25" t="s">
        <v>2</v>
      </c>
      <c r="C25" s="1">
        <v>44896</v>
      </c>
      <c r="D25">
        <v>2048.7063781096449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FFB3-DB5D-4401-9603-250C03A531CD}">
  <dimension ref="A1:J25"/>
  <sheetViews>
    <sheetView workbookViewId="0">
      <selection activeCell="F14" sqref="F14"/>
    </sheetView>
  </sheetViews>
  <sheetFormatPr defaultRowHeight="15" x14ac:dyDescent="0.25"/>
  <cols>
    <col min="1" max="1" width="18.42578125" bestFit="1" customWidth="1"/>
    <col min="2" max="2" width="9.140625" bestFit="1" customWidth="1"/>
    <col min="3" max="3" width="10.140625" bestFit="1" customWidth="1"/>
    <col min="4" max="4" width="19.7109375" bestFit="1" customWidth="1"/>
    <col min="5" max="5" width="19.5703125" bestFit="1" customWidth="1"/>
    <col min="6" max="6" width="24.42578125" bestFit="1" customWidth="1"/>
    <col min="7" max="7" width="18" bestFit="1" customWidth="1"/>
    <col min="8" max="8" width="21.7109375" bestFit="1" customWidth="1"/>
    <col min="9" max="9" width="30.5703125" bestFit="1" customWidth="1"/>
    <col min="10" max="10" width="22.7109375" bestFit="1" customWidth="1"/>
    <col min="11" max="11" width="30.5703125" bestFit="1" customWidth="1"/>
    <col min="12" max="12" width="22.7109375" customWidth="1"/>
    <col min="13" max="13" width="22.7109375" bestFit="1" customWidth="1"/>
    <col min="14" max="14" width="11.140625" bestFit="1" customWidth="1"/>
    <col min="15" max="15" width="80.5703125" bestFit="1" customWidth="1"/>
    <col min="16" max="16" width="11.5703125" bestFit="1" customWidth="1"/>
    <col min="17" max="17" width="21.42578125" bestFit="1" customWidth="1"/>
    <col min="18" max="18" width="15.5703125" bestFit="1" customWidth="1"/>
    <col min="19" max="19" width="19.140625" bestFit="1" customWidth="1"/>
    <col min="20" max="20" width="27.42578125" bestFit="1" customWidth="1"/>
    <col min="21" max="21" width="20" bestFit="1" customWidth="1"/>
  </cols>
  <sheetData>
    <row r="1" spans="1:10" x14ac:dyDescent="0.25">
      <c r="A1" t="s">
        <v>11</v>
      </c>
      <c r="B1" t="s">
        <v>0</v>
      </c>
      <c r="C1" t="s">
        <v>10</v>
      </c>
      <c r="D1" t="s">
        <v>32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</v>
      </c>
      <c r="C2" s="1">
        <v>44562</v>
      </c>
      <c r="D2">
        <v>15607.472427552075</v>
      </c>
      <c r="E2">
        <v>5517.3</v>
      </c>
      <c r="F2">
        <v>2019417.42</v>
      </c>
      <c r="G2">
        <v>154587255</v>
      </c>
      <c r="H2">
        <v>1305499.3600000001</v>
      </c>
      <c r="I2">
        <v>713918.06</v>
      </c>
      <c r="J2">
        <v>366.02</v>
      </c>
    </row>
    <row r="3" spans="1:10" x14ac:dyDescent="0.25">
      <c r="A3" t="s">
        <v>9</v>
      </c>
      <c r="B3" t="s">
        <v>1</v>
      </c>
      <c r="C3" s="1">
        <v>44593</v>
      </c>
      <c r="D3">
        <v>17608.522973535983</v>
      </c>
      <c r="E3">
        <v>7267.0069999999996</v>
      </c>
      <c r="F3">
        <v>2699559.59</v>
      </c>
      <c r="G3">
        <v>209330595</v>
      </c>
      <c r="H3">
        <v>1743833.42</v>
      </c>
      <c r="I3">
        <v>955726.17</v>
      </c>
      <c r="J3">
        <v>371.48</v>
      </c>
    </row>
    <row r="4" spans="1:10" x14ac:dyDescent="0.25">
      <c r="A4" t="s">
        <v>9</v>
      </c>
      <c r="B4" t="s">
        <v>1</v>
      </c>
      <c r="C4" s="1">
        <v>44621</v>
      </c>
      <c r="D4">
        <v>21062.983065389817</v>
      </c>
      <c r="E4">
        <v>11932.47</v>
      </c>
      <c r="F4">
        <v>4571442.3899999997</v>
      </c>
      <c r="G4">
        <v>467200547</v>
      </c>
      <c r="H4">
        <v>2825887.29</v>
      </c>
      <c r="I4">
        <v>1744417.47</v>
      </c>
      <c r="J4">
        <v>383.11</v>
      </c>
    </row>
    <row r="5" spans="1:10" x14ac:dyDescent="0.25">
      <c r="A5" t="s">
        <v>9</v>
      </c>
      <c r="B5" t="s">
        <v>1</v>
      </c>
      <c r="C5" s="1">
        <v>44652</v>
      </c>
      <c r="D5">
        <v>22784.588066788965</v>
      </c>
      <c r="E5">
        <v>9130.2510000000002</v>
      </c>
      <c r="F5">
        <v>3734175.75</v>
      </c>
      <c r="G5">
        <v>292544844</v>
      </c>
      <c r="H5">
        <v>2281367.69</v>
      </c>
      <c r="I5">
        <v>1452808.06</v>
      </c>
      <c r="J5">
        <v>408.99</v>
      </c>
    </row>
    <row r="6" spans="1:10" x14ac:dyDescent="0.25">
      <c r="A6" t="s">
        <v>9</v>
      </c>
      <c r="B6" t="s">
        <v>1</v>
      </c>
      <c r="C6" s="1">
        <v>44682</v>
      </c>
      <c r="D6">
        <v>21087.782274346329</v>
      </c>
      <c r="E6">
        <v>8533.81</v>
      </c>
      <c r="F6">
        <v>3425012.64</v>
      </c>
      <c r="G6">
        <v>217256034</v>
      </c>
      <c r="H6">
        <v>2126469.3199999998</v>
      </c>
      <c r="I6">
        <v>1298543.32</v>
      </c>
      <c r="J6">
        <v>401.35</v>
      </c>
    </row>
    <row r="7" spans="1:10" x14ac:dyDescent="0.25">
      <c r="A7" t="s">
        <v>9</v>
      </c>
      <c r="B7" t="s">
        <v>1</v>
      </c>
      <c r="C7" s="1">
        <v>44713</v>
      </c>
      <c r="D7">
        <v>24406.596870075966</v>
      </c>
      <c r="E7">
        <v>9461.35</v>
      </c>
      <c r="F7">
        <v>4243841.33</v>
      </c>
      <c r="G7">
        <v>239312387</v>
      </c>
      <c r="H7">
        <v>2373271.5499999998</v>
      </c>
      <c r="I7">
        <v>1864679.96</v>
      </c>
      <c r="J7">
        <v>448.55</v>
      </c>
    </row>
    <row r="8" spans="1:10" x14ac:dyDescent="0.25">
      <c r="A8" t="s">
        <v>9</v>
      </c>
      <c r="B8" t="s">
        <v>1</v>
      </c>
      <c r="C8" s="1">
        <v>44743</v>
      </c>
      <c r="D8">
        <v>25263.079909744967</v>
      </c>
      <c r="E8">
        <v>9367.5499999999993</v>
      </c>
      <c r="F8">
        <v>4173678.96</v>
      </c>
      <c r="G8">
        <v>242680028</v>
      </c>
      <c r="H8">
        <v>2358411.1</v>
      </c>
      <c r="I8">
        <v>1815267.86</v>
      </c>
      <c r="J8">
        <v>445.55</v>
      </c>
    </row>
    <row r="9" spans="1:10" x14ac:dyDescent="0.25">
      <c r="A9" t="s">
        <v>9</v>
      </c>
      <c r="B9" t="s">
        <v>1</v>
      </c>
      <c r="C9" s="1">
        <v>44774</v>
      </c>
      <c r="D9">
        <v>28287.105368949939</v>
      </c>
      <c r="E9">
        <v>10227.838</v>
      </c>
      <c r="F9">
        <v>4315666.46</v>
      </c>
      <c r="G9">
        <v>260714326</v>
      </c>
      <c r="H9">
        <v>2563301.63</v>
      </c>
      <c r="I9">
        <v>1752364.83</v>
      </c>
      <c r="J9">
        <v>421.95</v>
      </c>
    </row>
    <row r="10" spans="1:10" x14ac:dyDescent="0.25">
      <c r="A10" t="s">
        <v>9</v>
      </c>
      <c r="B10" t="s">
        <v>1</v>
      </c>
      <c r="C10" s="1">
        <v>44805</v>
      </c>
      <c r="D10">
        <v>28982.813464601903</v>
      </c>
      <c r="E10">
        <v>9089.2379999999994</v>
      </c>
      <c r="F10">
        <v>3983125.81</v>
      </c>
      <c r="G10">
        <v>237844588</v>
      </c>
      <c r="H10">
        <v>2276759.66</v>
      </c>
      <c r="I10">
        <v>1706366.15</v>
      </c>
      <c r="J10">
        <v>438.22</v>
      </c>
    </row>
    <row r="11" spans="1:10" x14ac:dyDescent="0.25">
      <c r="A11" t="s">
        <v>9</v>
      </c>
      <c r="B11" t="s">
        <v>1</v>
      </c>
      <c r="C11" s="1">
        <v>44835</v>
      </c>
      <c r="D11">
        <v>30309.074597215003</v>
      </c>
      <c r="E11">
        <v>9650.92</v>
      </c>
      <c r="F11">
        <v>3958269.33</v>
      </c>
      <c r="G11">
        <v>241895781</v>
      </c>
      <c r="H11">
        <v>2399602.98</v>
      </c>
      <c r="I11">
        <v>1558666.35</v>
      </c>
      <c r="J11">
        <v>410.14</v>
      </c>
    </row>
    <row r="12" spans="1:10" x14ac:dyDescent="0.25">
      <c r="A12" t="s">
        <v>9</v>
      </c>
      <c r="B12" t="s">
        <v>1</v>
      </c>
      <c r="C12" s="1">
        <v>44866</v>
      </c>
      <c r="D12">
        <v>32348.144899168452</v>
      </c>
      <c r="E12">
        <v>10985.785</v>
      </c>
      <c r="F12">
        <v>4722404.3099999996</v>
      </c>
      <c r="G12">
        <v>287353211</v>
      </c>
      <c r="H12">
        <v>2724108.06</v>
      </c>
      <c r="I12">
        <v>1998296.25</v>
      </c>
      <c r="J12">
        <v>429.86</v>
      </c>
    </row>
    <row r="13" spans="1:10" x14ac:dyDescent="0.25">
      <c r="A13" t="s">
        <v>9</v>
      </c>
      <c r="B13" t="s">
        <v>1</v>
      </c>
      <c r="C13" s="1">
        <v>44896</v>
      </c>
      <c r="D13">
        <v>32782.699073720709</v>
      </c>
      <c r="E13">
        <v>11599.81</v>
      </c>
      <c r="F13">
        <v>4567059.05</v>
      </c>
      <c r="G13">
        <v>299884772</v>
      </c>
      <c r="H13">
        <v>2811798.56</v>
      </c>
      <c r="I13">
        <v>1753807.82</v>
      </c>
      <c r="J13">
        <v>393.72</v>
      </c>
    </row>
    <row r="14" spans="1:10" x14ac:dyDescent="0.25">
      <c r="A14" t="s">
        <v>9</v>
      </c>
      <c r="B14" t="s">
        <v>2</v>
      </c>
      <c r="C14" s="1">
        <v>44562</v>
      </c>
      <c r="D14">
        <v>1113.6941111529261</v>
      </c>
      <c r="E14">
        <v>430.14</v>
      </c>
      <c r="F14">
        <v>138494.43</v>
      </c>
      <c r="G14">
        <v>10600767</v>
      </c>
      <c r="H14">
        <v>85056.74</v>
      </c>
      <c r="I14">
        <v>53437.69</v>
      </c>
      <c r="J14">
        <v>321.98</v>
      </c>
    </row>
    <row r="15" spans="1:10" x14ac:dyDescent="0.25">
      <c r="A15" t="s">
        <v>9</v>
      </c>
      <c r="B15" t="s">
        <v>2</v>
      </c>
      <c r="C15" s="1">
        <v>44593</v>
      </c>
      <c r="D15">
        <v>1300.0324019350508</v>
      </c>
      <c r="E15">
        <v>544.53200000000004</v>
      </c>
      <c r="F15">
        <v>181414.32</v>
      </c>
      <c r="G15">
        <v>14175799</v>
      </c>
      <c r="H15">
        <v>109625.17</v>
      </c>
      <c r="I15">
        <v>71789.149999999994</v>
      </c>
      <c r="J15">
        <v>333.16</v>
      </c>
    </row>
    <row r="16" spans="1:10" x14ac:dyDescent="0.25">
      <c r="A16" t="s">
        <v>9</v>
      </c>
      <c r="B16" t="s">
        <v>2</v>
      </c>
      <c r="C16" s="1">
        <v>44621</v>
      </c>
      <c r="D16">
        <v>1843.842657473014</v>
      </c>
      <c r="E16">
        <v>631.71</v>
      </c>
      <c r="F16">
        <v>240697.31</v>
      </c>
      <c r="G16">
        <v>25017511</v>
      </c>
      <c r="H16">
        <v>127160.95</v>
      </c>
      <c r="I16">
        <v>113536.36</v>
      </c>
      <c r="J16">
        <v>381.03</v>
      </c>
    </row>
    <row r="17" spans="1:10" x14ac:dyDescent="0.25">
      <c r="A17" t="s">
        <v>9</v>
      </c>
      <c r="B17" t="s">
        <v>2</v>
      </c>
      <c r="C17" s="1">
        <v>44652</v>
      </c>
      <c r="D17">
        <v>2100.8897960042623</v>
      </c>
      <c r="E17">
        <v>614.95600000000002</v>
      </c>
      <c r="F17">
        <v>240412.24</v>
      </c>
      <c r="G17">
        <v>18857243</v>
      </c>
      <c r="H17">
        <v>123736.19</v>
      </c>
      <c r="I17">
        <v>116676.05</v>
      </c>
      <c r="J17">
        <v>390.94</v>
      </c>
    </row>
    <row r="18" spans="1:10" x14ac:dyDescent="0.25">
      <c r="A18" t="s">
        <v>9</v>
      </c>
      <c r="B18" t="s">
        <v>2</v>
      </c>
      <c r="C18" s="1">
        <v>44682</v>
      </c>
      <c r="D18">
        <v>1720.1261380619244</v>
      </c>
      <c r="E18">
        <v>514.54899999999998</v>
      </c>
      <c r="F18">
        <v>213474.38</v>
      </c>
      <c r="G18">
        <v>13507836</v>
      </c>
      <c r="H18">
        <v>103533.17</v>
      </c>
      <c r="I18">
        <v>109941.21</v>
      </c>
      <c r="J18">
        <v>414.88</v>
      </c>
    </row>
    <row r="19" spans="1:10" x14ac:dyDescent="0.25">
      <c r="A19" t="s">
        <v>9</v>
      </c>
      <c r="B19" t="s">
        <v>2</v>
      </c>
      <c r="C19" s="1">
        <v>44713</v>
      </c>
      <c r="D19">
        <v>1697.6238339136862</v>
      </c>
      <c r="E19">
        <v>577.29600000000005</v>
      </c>
      <c r="F19">
        <v>264547.5</v>
      </c>
      <c r="G19">
        <v>15017097</v>
      </c>
      <c r="H19">
        <v>116098.99</v>
      </c>
      <c r="I19">
        <v>148431.84</v>
      </c>
      <c r="J19">
        <v>458.25</v>
      </c>
    </row>
    <row r="20" spans="1:10" x14ac:dyDescent="0.25">
      <c r="A20" t="s">
        <v>9</v>
      </c>
      <c r="B20" t="s">
        <v>2</v>
      </c>
      <c r="C20" s="1">
        <v>44743</v>
      </c>
      <c r="D20">
        <v>1718.194311531046</v>
      </c>
      <c r="E20">
        <v>605.85500000000002</v>
      </c>
      <c r="F20">
        <v>256009.24</v>
      </c>
      <c r="G20">
        <v>14874937</v>
      </c>
      <c r="H20">
        <v>116634</v>
      </c>
      <c r="I20">
        <v>139375.24</v>
      </c>
      <c r="J20">
        <v>422.56</v>
      </c>
    </row>
    <row r="21" spans="1:10" x14ac:dyDescent="0.25">
      <c r="A21" t="s">
        <v>9</v>
      </c>
      <c r="B21" t="s">
        <v>2</v>
      </c>
      <c r="C21" s="1">
        <v>44774</v>
      </c>
      <c r="D21">
        <v>1681.5026424500577</v>
      </c>
      <c r="E21">
        <v>625.65200000000004</v>
      </c>
      <c r="F21">
        <v>262105.64</v>
      </c>
      <c r="G21">
        <v>15831875</v>
      </c>
      <c r="H21">
        <v>120349.31</v>
      </c>
      <c r="I21">
        <v>141756.32999999999</v>
      </c>
      <c r="J21">
        <v>418.93</v>
      </c>
    </row>
    <row r="22" spans="1:10" x14ac:dyDescent="0.25">
      <c r="A22" t="s">
        <v>9</v>
      </c>
      <c r="B22" t="s">
        <v>2</v>
      </c>
      <c r="C22" s="1">
        <v>44805</v>
      </c>
      <c r="D22">
        <v>1578.0521519458846</v>
      </c>
      <c r="E22">
        <v>648.69000000000005</v>
      </c>
      <c r="F22">
        <v>259236.99</v>
      </c>
      <c r="G22">
        <v>15556376</v>
      </c>
      <c r="H22">
        <v>124880.1</v>
      </c>
      <c r="I22">
        <v>134356.89000000001</v>
      </c>
      <c r="J22">
        <v>399.63</v>
      </c>
    </row>
    <row r="23" spans="1:10" x14ac:dyDescent="0.25">
      <c r="A23" t="s">
        <v>9</v>
      </c>
      <c r="B23" t="s">
        <v>2</v>
      </c>
      <c r="C23" s="1">
        <v>44835</v>
      </c>
      <c r="D23">
        <v>1966.2977016238212</v>
      </c>
      <c r="E23">
        <v>851.84</v>
      </c>
      <c r="F23">
        <v>295027.69</v>
      </c>
      <c r="G23">
        <v>18023631</v>
      </c>
      <c r="H23">
        <v>163988.48000000001</v>
      </c>
      <c r="I23">
        <v>131039.21</v>
      </c>
      <c r="J23">
        <v>346.34</v>
      </c>
    </row>
    <row r="24" spans="1:10" x14ac:dyDescent="0.25">
      <c r="A24" t="s">
        <v>9</v>
      </c>
      <c r="B24" t="s">
        <v>2</v>
      </c>
      <c r="C24" s="1">
        <v>44866</v>
      </c>
      <c r="D24">
        <v>2084.2465065235983</v>
      </c>
      <c r="E24">
        <v>734.96</v>
      </c>
      <c r="F24">
        <v>285595.46999999997</v>
      </c>
      <c r="G24">
        <v>17391377</v>
      </c>
      <c r="H24">
        <v>141488.07999999999</v>
      </c>
      <c r="I24">
        <v>144107.39000000001</v>
      </c>
      <c r="J24">
        <v>388.59</v>
      </c>
    </row>
    <row r="25" spans="1:10" x14ac:dyDescent="0.25">
      <c r="A25" t="s">
        <v>9</v>
      </c>
      <c r="B25" t="s">
        <v>2</v>
      </c>
      <c r="C25" s="1">
        <v>44896</v>
      </c>
      <c r="D25">
        <v>2048.7063781096449</v>
      </c>
      <c r="E25">
        <v>589.49</v>
      </c>
      <c r="F25">
        <v>250165.7</v>
      </c>
      <c r="G25">
        <v>16320386</v>
      </c>
      <c r="H25">
        <v>113098.71</v>
      </c>
      <c r="I25">
        <v>137066.99</v>
      </c>
      <c r="J25">
        <v>424.38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F2E5-EC19-4C28-8B38-1C836345BCD6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��D0:B_?@>406?;0=_?@>406A?@02>G=8: 1@5=4>2
</file>

<file path=customXml/item2.xml>��
</file>

<file path=customXml/item3.xml>��A?@02>G=8: 1@5=4>2@5=4@5=4
</file>

<file path=customXml/item4.xml>��?;0=_?@>406">20@=0O 3@C??00B0>;8G5AB2>@5=4">20@=0O 3@C??00B0>;8G5AB2>@5=4
</file>

<file path=customXml/item5.xml>��
</file>

<file path=customXml/item6.xml>��?;0= ?@>4060B0@5=4@5=4">20@=0O 3@C??00B0@5=4@5=4">20@=0O 3@C??0
</file>

<file path=customXml/item7.xml>��D0:B_?@>406
</file>

<file path=customXml/item8.xml>��$0:B ?@>406 ">20@=>9 3@C??K1 70 023CAB:>;-2>$0:B ?@>406 ">20@=>9 3@C??K1 70 023CAB:>;-2>2K?>;=5=8O ?;0=0 ?@>406 (:>;-2>2K?>;=5=8O ?;0=0 ?@>406 (:>;-2>K@CG:0K@CG:00;>20O <0@68=0;L=0O ?@81K;L0;>20O <0@68=0;L=0O ?@81K;LC@AA@54=55C@AA@54=55K@CG:0_@C1K@CG:0_@C1C@AC@AC@AC@A@5=41_$@5=41_$@5=42_$@5=42_$@5=41_@5=41_@5=42_@5=42_2K?>;=5=8O ;0=0_@5=42K?>;=5=8O ;0=0_@5=42K?>;=5=8O ;0=0_@5=42K?>;=5=8O ;0=0_@5=4
</file>

<file path=customXml/item9.xml>��
</file>

<file path=customXml/item10.xml>��D0:B_?@>406,?;0=_?@>406,A?@02>G=8: 1@5=4>2
</file>

<file path=customXml/item11.xml>��
</file>

<file path=customXml/item12.xml>��
</file>

<file path=customXml/item13.xml>��A?@02>G=8:_1@5=4>2@5=4@5=4
</file>

<file path=customXml/item14.xml>��$0:B ?@>406 ">20@=>9 3@C??K1 70 023CAB:>;-2>$0:B ?@>406 ">20@=>9 3@C??K1 70 023CAB:>;-2>2K?>;=5=8O ?;0=0 ?@>406 (:>;-2>2K?>;=5=8O ?;0=0 ?@>406 (:>;-2>K@CG:0K@CG:00;>20O <0@68=0;L=0O ?@81K;L0;>20O <0@68=0;L=0O ?@81K;LC@AA@54=55C@AA@54=55
</file>

<file path=customXml/item15.xml>��D0:B ?@>406@5=40B0>;8G5AB2>!C<<0 ?@>4068 2!B>8<>ABL, @C1!515AB>8<>ABL0@68=0;L=K9 4>E>4 2&5=0 ?@>4068 2">20@=0O 3@C??0@5=40B0>;8G5AB2>!C<<0 ?@>4068 2!B>8<>ABL, @C1!515AB>8<>ABL0@68=0;L=K9 4>E>4 2&5=0 ?@>4068 2">20@=0O 3@C??0
</file>

<file path=customXml/item16.xml>��
</file>

<file path=customXml/item17.xml>��
</file>

<file path=customXml/item18.xml>��D0:B_?@>4060B0">20@=0O 3@C??0@5=40B0!C<<0 ?@>4068 2!B>8<>ABL, @C1!515AB>8<>ABL0@68=0;L=K9 4>E>4 2&5=0 ?@>4068 2!B@C:BC@0 ?@>406 ?> @5=40<!@54=89 :C@A ?@>4060B0 (5AOF>;8G5AB2>_$0:B>;8G5AB2>_;0=0B0 (=45:A <5AOF00B0 (5AOF">20@=0O 3@C??0@5=40B0!C<<0 ?@>4068 2!B>8<>ABL, @C1!515AB>8<>ABL0@68=0;L=K9 4>E>4 2&5=0 ?@>4068 2!B@C:BC@0 ?@>406 ?> @5=40<!@54=89 :C@A ?@>4060B0 (5AOF>;8G5AB2>_$0:B>;8G5AB2>_;0=0B0 (=45:A <5AOF00B0 (5AOF
</file>

<file path=customXml/item19.xml>��?;0= ?@>406?;0= ?@>406">20@=0O 3@C??00B0@5=4@5=4">20@=0O 3@C??00B0@5=4@5=4D0:B ?@>406D0:B ?@>406$0:B ?@>406 ">20@=>9 3@C??K1 70 023CAB:>;-2>$0:B ?@>406 ">20@=>9 3@C??K1 70 023CAB:>;-2>$>@<C;0$0:B ?@>406 ">20@=>9 3@C??K1 70 023CAB:>;-2>=0G5=85">20@=0O 3@C??0@5=40B0>;8G5AB2>!C<<0 ?@>4068 2!B>8<>ABL, @C1!515AB>8<>ABL0@68=0;L=K9 4>E>4 2&5=0 ?@>4068 2$0:B ?@>406 ">20@=>9 3@C??K1 70 023CAB:>;-2>$0:B ?@>406 ">20@=>9 3@C??K1 70 023CAB:>;-2>$>@<C;0$0:B ?@>406 ">20@=>9 3@C??K1 70 023CAB:>;-2>=0G5=85">20@=0O 3@C??0@5=40B0>;8G5AB2>!C<<0 ?@>4068 2!B>8<>ABL, @C1!515AB>8<>ABL0@68=0;L=K9 4>E>4 2&5=0 ?@>4068 2A?@02>G=8: 1@5=4>2A?@02>G=8: 1@5=4>2@5=4@5=4D0:B_?@>406?;0=_?@>406A?@02>G=8: 1@5=4>2D0:B_?@>406D0:B_?@>406">20@=0O 3@C??0D0:B_?@>406@5=4D0:B_?@>4060B0D0:B_?@>406>;8G5AB2>_;0=D0:B_?@>406>;8G5AB2>_$0:BD0:B_?@>406!C<<0 ?@>4068 2D0:B_?@>406!B>8<>ABL, @C1D0:B_?@>406!515AB>8<>ABLD0:B_?@>4060@68=0;L=K9 4>E>4 2D0:B_?@>406&5=0 ?@>4068 2D0:B_?@>406!B@C:BC@0 ?@>406 ?> @5=40<D0:B_?@>406!@54=89 :C@A ?@>406D0:B_?@>4060B0 (5AOFD0:B_?@>406!C<<0 ?> AB>;1FC !B@C:BC@0 ?@>406 ?> @5=40<D0:B_?@>406\!C<<0 ?> AB>;1FC !B@C:BC@0 ?@>406 ?> @5=40<5O2=0O <5@0D0:B_?@>406'8A;> M;5<5=B>2 2 AB>;1F5 !B@C:BC@0 ?@>406 ?> @5=40<D0:B_?@>406\'8A;> M;5<5=B>2 2 AB>;1F5 !B@C:BC@0 ?@>406 ?> @5=40<5O2=0O <5@0D0:B_?@>406>;8G5AB2>_$0:BD0:B_?@>406>;8G5AB2>_$0:B5O2=0O <5@0D0:B_?@>406>;8G5AB2>_$0:BD0:B_?@>406>;8G5AB2>_$0:B5O2=0O <5@0D0:B_?@>406!C<<0 ?> AB>;1FC !B>8<>ABL, @C1D0:B_?@>406\!C<<0 ?> AB>;1FC !B>8<>ABL, @C15O2=0O <5@0D0:B_?@>406>;8G5AB2>_;0=D0:B_?@>406>;8G5AB2>_;0=5O2=0O <5@0D0:B_?@>406$0:B ?@>406 ">20@=>9 3@C??K1 70 023CAB:>;-2>D0:B_?@>4062K?>;=5=8O ?;0=0 ?@>406 (:>;-2>D0:B_?@>406K@CG:0D0:B_?@>4060;>20O <0@68=0;L=0O ?@81K;LD0:B_?@>406C@AA@54=55D0:B_?@>406!C<<0 ?> AB>;1FC 0@68=0;L=K9 4>E>4 2D0:B_?@>406\!C<<0 ?> AB>;1FC 0@68=0;L=K9 4>E>4 25O2=0O <5@0D0:B_?@>406!C<<0 ?> AB>;1FC !515AB>8<>ABLD0:B_?@>406\!C<<0 ?> AB>;1FC !515AB>8<>ABL5O2=0O <5@0?;0=_?@>406?;0=_?@>406">20@=0O 3@C??0?;0=_?@>406@5=4?;0=_?@>4060B0?;0=_?@>406>;8G5AB2>?;0=_?@>406!C<<0 ?> AB>;1FC >;8G5AB2>?;0=_?@>406\!C<<0 ?> AB>;1FC >;8G5AB2>5O2=0O <5@0?;0=_?@>406'8A;> M;5<5=B>2 2 AB>;1F5 >;8G5AB2>?;0=_?@>406\'8A;> M;5<5=B>2 2 AB>;1F5 >;8G5AB2>5O2=0O <5@0A?@02>G=8: 1@5=4>2A?@02>G=8: 1@5=4>2@5=4D0:B_?@>4060B0D0:B_?@>4060B0D0:B_?@>4060B0D0:B_?@>4060B0D0:B_?@>406@5=4A?@02>G=8: 1@5=4>2@5=4D0:B_?@>406@5=4A?@02>G=8: 1@5=4>2@5=4D0:B_?@>406@5=4A?@02>G=8: 1@5=4>2@5=4D0:B_?@>406@5=4A?@02>G=8: 1@5=4>2@5=4?;0=_?@>4060B0?;0=_?@>4060B0?;0=_?@>4060B0?;0=_?@>4060B0?;0=_?@>406@5=4A?@02>G=8: 1@5=4>2@5=4?;0=_?@>406@5=4A?@02>G=8: 1@5=4>2@5=4?;0=_?@>406@5=4A?@02>G=8: 1@5=4>2@5=4?;0=_?@>406@5=4A?@02>G=8: 1@5=4>2@5=4A?@02>G=8: 1@5=4>2@5=4D0:B_?@>406?;0=_?@>406A?@02>G=8: 1@5=4>2D0:B_?@>406D0:B_?@>406">20@=0O 3@C??0D0:B_?@>406@5=4D0:B_?@>4060B0D0:B_?@>406>;8G5AB2>_;0=D0:B_?@>406>;8G5AB2>_$0:BD0:B_?@>406!C<<0 ?@>4068 2D0:B_?@>406!B>8<>ABL, @C1D0:B_?@>406!515AB>8<>ABLD0:B_?@>4060@68=0;L=K9 4>E>4 2D0:B_?@>406&5=0 ?@>4068 2D0:B_?@>406!B@C:BC@0 ?@>406 ?> @5=40<D0:B_?@>406!@54=89 :C@A ?@>406D0:B_?@>4060B0 (5AOFD0:B_?@>406!C<<0 ?> AB>;1FC !B@C:BC@0 ?@>406 ?> @5=40<D0:B_?@>406\!C<<0 ?> AB>;1FC !B@C:BC@0 ?@>406 ?> @5=40<5O2=0O <5@0D0:B_?@>406'8A;> M;5<5=B>2 2 AB>;1F5 !B@C:BC@0 ?@>406 ?> @5=40<D0:B_?@>406\'8A;> M;5<5=B>2 2 AB>;1F5 !B@C:BC@0 ?@>406 ?> @5=40<5O2=0O <5@0D0:B_?@>406>;8G5AB2>_$0:BD0:B_?@>406>;8G5AB2>_$0:B5O2=0O <5@0D0:B_?@>406>;8G5AB2>_$0:BD0:B_?@>406>;8G5AB2>_$0:B5O2=0O <5@0D0:B_?@>406!C<<0 ?> AB>;1FC !B>8<>ABL, @C1D0:B_?@>406\!C<<0 ?> AB>;1FC !B>8<>ABL, @C15O2=0O <5@0D0:B_?@>406>;8G5AB2>_;0=D0:B_?@>406>;8G5AB2>_;0=5O2=0O <5@0D0:B_?@>406$0:B ?@>406 ">20@=>9 3@C??K1 70 023CAB:>;-2>D0:B_?@>4062K?>;=5=8O ?;0=0 ?@>406 (:>;-2>D0:B_?@>406K@CG:0D0:B_?@>4060;>20O <0@68=0;L=0O ?@81K;LD0:B_?@>406C@AA@54=55D0:B_?@>406!C<<0 ?> AB>;1FC 0@68=0;L=K9 4>E>4 2D0:B_?@>406\!C<<0 ?> AB>;1FC 0@68=0;L=K9 4>E>4 25O2=0O <5@0D0:B_?@>406!C<<0 ?> AB>;1FC !515AB>8<>ABLD0:B_?@>406\!C<<0 ?> AB>;1FC !515AB>8<>ABL5O2=0O <5@0?;0=_?@>406?;0=_?@>406">20@=0O 3@C??0?;0=_?@>406@5=4?;0=_?@>4060B0?;0=_?@>406>;8G5AB2>?;0=_?@>406!C<<0 ?> AB>;1FC >;8G5AB2>?;0=_?@>406\!C<<0 ?> AB>;1FC >;8G5AB2>5O2=0O <5@0?;0=_?@>406'8A;> M;5<5=B>2 2 AB>;1F5 >;8G5AB2>?;0=_?@>406\'8A;> M;5<5=B>2 2 AB>;1F5 >;8G5AB2>5O2=0O <5@0A?@02>G=8: 1@5=4>2A?@02>G=8: 1@5=4>2@5=4D0:B_?@>4060B0>=5G=0O B>G:0>=5G=0O B>G:0D0:B_?@>4060B0D0:B_?@>4060B0D0:B_?@>4060B0D0:B_?@>406@5=4A?@02>G=8: 1@5=4>2@5=4>=5G=0O B>G:0>=5G=0O B>G:0D0:B_?@>406@5=4A?@02>G=8: 1@5=4>2@5=4D0:B_?@>406@5=4A?@02>G=8: 1@5=4>2@5=4D0:B_?@>406@5=4A?@02>G=8: 1@5=4>2@5=4?;0=_?@>4060B0>=5G=0O B>G:0>=5G=0O B>G:0?;0=_?@>4060B0?;0=_?@>4060B0?;0=_?@>4060B0?;0=_?@>406@5=4A?@02>G=8: 1@5=4>2@5=4>=5G=0O B>G:0>=5G=0O B>G:0?;0=_?@>406@5=4A?@02>G=8: 1@5=4>2@5=4?;0=_?@>406@5=4A?@02>G=8: 1@5=4>2@5=4?;0=_?@>406@5=4A?@02>G=8: 1@5=4>2@5=4?;0=_?@>406?;0=_?@>406!C<<0 ?> AB>;1FC >;8G5AB2>!C<<0 ?> AB>;1FC >;8G5AB2>$>@<C;0!C<<0 ?> AB>;1FC >;8G5AB2>=0G5=85'8A;> M;5<5=B>2 2 AB>;1F5 >;8G5AB2>'8A;> M;5<5=B>2 2 AB>;1F5 >;8G5AB2>$>@<C;0'8A;> M;5<5=B>2 2 AB>;1F5 >;8G5AB2>=0G5=85">20@=0O 3@C??0@5=40B0>;8G5AB2>!C<<0 ?> AB>;1FC >;8G5AB2>>;8G5AB2>!C<<0 ?> AB>;1FC >;8G5AB2>>;8G5AB2>!C<<0 ?> AB>;1FC >;8G5AB2>>;8G5AB2>'8A;> M;5<5=B>2 2 AB>;1F5 >;8G5AB2>>;8G5AB2>'8A;> M;5<5=B>2 2 AB>;1F5 >;8G5AB2>>;8G5AB2>'8A;> M;5<5=B>2 2 AB>;1F5 >;8G5AB2>>;8G5AB2>!C<<0 ?> AB>;1FC >;8G5AB2>!C<<0 ?> AB>;1FC >;8G5AB2>$>@<C;0!C<<0 ?> AB>;1FC >;8G5AB2>=0G5=85'8A;> M;5<5=B>2 2 AB>;1F5 >;8G5AB2>'8A;> M;5<5=B>2 2 AB>;1F5 >;8G5AB2>$>@<C;0'8A;> M;5<5=B>2 2 AB>;1F5 >;8G5AB2>=0G5=85">20@=0O 3@C??0@5=40B0>;8G5AB2>!C<<0 ?> AB>;1FC >;8G5AB2>>;8G5AB2>!C<<0 ?> AB>;1FC >;8G5AB2>>;8G5AB2>!C<<0 ?> AB>;1FC >;8G5AB2>>;8G5AB2>'8A;> M;5<5=B>2 2 AB>;1F5 >;8G5AB2>>;8G5AB2>'8A;> M;5<5=B>2 2 AB>;1F5 >;8G5AB2>>;8G5AB2>'8A;> M;5<5=B>2 2 AB>;1F5 >;8G5AB2>>;8G5AB2>D0:B_?@>406D0:B_?@>406!C<<0 ?> AB>;1FC !B@C:BC@0 ?@>406 ?> @5=40<!C<<0 ?> AB>;1FC !B@C:BC@0 ?@>406 ?> @5=40<$>@<C;0!C<<0 ?> AB>;1FC !B@C:BC@0 ?@>406 ?> @5=40<=0G5=85'8A;> M;5<5=B>2 2 AB>;1F5 !B@C:BC@0 ?@>406 ?> @5=40<'8A;> M;5<5=B>2 2 AB>;1F5 !B@C:BC@0 ?@>406 ?> @5=40<$>@<C;0'8A;> M;5<5=B>2 2 AB>;1F5 !B@C:BC@0 ?@>406 ?> @5=40<=0G5=85>;8G5AB2>_$0:B>;8G5AB2>_$0:B$>@<C;0>;8G5AB2>_$0:B=0G5=85>;8G5AB2>_$0:B>;8G5AB2>_$0:B$>@<C;0>;8G5AB2>_$0:B=0G5=85!C<<0 ?> AB>;1FC !B>8<>ABL, @C1!C<<0 ?> AB>;1FC !B>8<>ABL, @C1$>@<C;0!C<<0 ?> AB>;1FC !B>8<>ABL, @C1=0G5=85>;8G5AB2>_;0=>;8G5AB2>_;0=$>@<C;0>;8G5AB2>_;0==0G5=85!C<<0 ?> AB>;1FC 0@68=0;L=K9 4>E>4 2!C<<0 ?> AB>;1FC 0@68=0;L=K9 4>E>4 2$>@<C;0!C<<0 ?> AB>;1FC 0@68=0;L=K9 4>E>4 2=0G5=85!C<<0 ?> AB>;1FC !515AB>8<>ABL!C<<0 ?> AB>;1FC !515AB>8<>ABL$>@<C;0!C<<0 ?> AB>;1FC !515AB>8<>ABL=0G5=85$0:B ?@>406 ">20@=>9 3@C??K1 70 023CAB:>;-2>$0:B ?@>406 ">20@=>9 3@C??K1 70 023CAB:>;-2>$>@<C;0$0:B ?@>406 ">20@=>9 3@C??K1 70 023CAB:>;-2>=0G5=852K?>;=5=8O ?;0=0 ?@>406 (:>;-2>2K?>;=5=8O ?;0=0 ?@>406 (:>;-2>$>@<C;02K?>;=5=8O ?;0=0 ?@>406 (:>;-2>=0G5=85K@CG:0K@CG:0$>@<C;0K@CG:0=0G5=850;>20O <0@68=0;L=0O ?@81K;L0;>20O <0@68=0;L=0O ?@81K;L$>@<C;00;>20O <0@68=0;L=0O ?@81K;L=0G5=85C@AA@54=55C@AA@54=55$>@<C;0C@AA@54=55=0G5=85K@CG:0_@C1K@CG:0_@C1$>@<C;0K@CG:0_@C1=0G5=85C@AC@A$>@<C;0C@A=0G5=85C@AC@A$>@<C;0C@A=0G5=85@5=41_$@5=41_$$>@<C;0@5=41_$=0G5=85@5=42_$@5=42_$$>@<C;0@5=42_$=0G5=85@5=41_@5=41_$>@<C;0@5=41_=0G5=85@5=42_@5=42_$>@<C;0@5=42_=0G5=852K?>;=5=8O ;0=0_@5=42K?>;=5=8O ;0=0_@5=4$>@<C;02K?>;=5=8O ;0=0_@5=4=0G5=852K?>;=5=8O ;0=0_@5=42K?>;=5=8O ;0=0_@5=4$>@<C;02K?>;=5=8O ;0=0_@5=4=0G5=852K?>;=5=8O _$2K?>;=5=8O _$$>@<C;02K?>;=5=8O _$=0G5=85">20@=0O 3@C??0@5=40B0>;8G5AB2>_;0=>;8G5AB2>_$0:B!C<<0 ?@>4068 2!B>8<>ABL, @C1!515AB>8<>ABL0@68=0;L=K9 4>E>4 2&5=0 ?@>4068 2!B@C:BC@0 ?@>406 ?> @5=40<!@54=89 :C@A ?@>4060B0 (5AOF0B0 (=45:A <5AOF00B0 (5AOF!C<<0 ?> AB>;1FC !B@C:BC@0 ?@>406 ?> @5=40<!B@C:BC@0 ?@>406 ?> @5=40<!C<<0 ?> AB>;1FC !B@C:BC@0 ?@>406 ?> @5=40<!B@C:BC@0 ?@>406 ?> @5=40<!C<<0 ?> AB>;1FC !B@C:BC@0 ?@>406 ?> @5=40<!B@C:BC@0 ?@>406 ?> @5=40<'8A;> M;5<5=B>2 2 AB>;1F5 !B@C:BC@0 ?@>406 ?> @5=40<!B@C:BC@0 ?@>406 ?> @5=40<'8A;> M;5<5=B>2 2 AB>;1F5 !B@C:BC@0 ?@>406 ?> @5=40<!B@C:BC@0 ?@>406 ?> @5=40<'8A;> M;5<5=B>2 2 AB>;1F5 !B@C:BC@0 ?@>406 ?> @5=40<!B@C:BC@0 ?@>406 ?> @5=40<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_$0:B!C<<0 ?> AB>;1FC !B>8<>ABL, @C1!B>8<>ABL, @C1!C<<0 ?> AB>;1FC !B>8<>ABL, @C1!B>8<>ABL, @C1!C<<0 ?> AB>;1FC !B>8<>ABL, @C1!B>8<>ABL, @C1>;8G5AB2>_;0=>;8G5AB2>_;0=>;8G5AB2>_;0=>;8G5AB2>_;0=>;8G5AB2>_;0=>;8G5AB2>_;0=!C<<0 ?> AB>;1FC 0@68=0;L=K9 4>E>4 20@68=0;L=K9 4>E>4 2!C<<0 ?> AB>;1FC 0@68=0;L=K9 4>E>4 20@68=0;L=K9 4>E>4 2!C<<0 ?> AB>;1FC 0@68=0;L=K9 4>E>4 20@68=0;L=K9 4>E>4 2!C<<0 ?> AB>;1FC !515AB>8<>ABL!515AB>8<>ABL!C<<0 ?> AB>;1FC !515AB>8<>ABL!515AB>8<>ABL!C<<0 ?> AB>;1FC !515AB>8<>ABL!515AB>8<>ABLA@54=5-0@8D<5B8G5A:>5!C<<0 ?> AB>;1FC !B@C:BC@0 ?@>406 ?> @5=40<!C<<0 ?> AB>;1FC !B@C:BC@0 ?@>406 ?> @5=40<$>@<C;0!C<<0 ?> AB>;1FC !B@C:BC@0 ?@>406 ?> @5=40<=0G5=85'8A;> M;5<5=B>2 2 AB>;1F5 !B@C:BC@0 ?@>406 ?> @5=40<'8A;> M;5<5=B>2 2 AB>;1F5 !B@C:BC@0 ?@>406 ?> @5=40<$>@<C;0'8A;> M;5<5=B>2 2 AB>;1F5 !B@C:BC@0 ?@>406 ?> @5=40<=0G5=85>;8G5AB2>_$0:B>;8G5AB2>_$0:B$>@<C;0>;8G5AB2>_$0:B=0G5=85>;8G5AB2>_$0:B>;8G5AB2>_$0:B$>@<C;0>;8G5AB2>_$0:B=0G5=85!C<<0 ?> AB>;1FC !B>8<>ABL, @C1!C<<0 ?> AB>;1FC !B>8<>ABL, @C1$>@<C;0!C<<0 ?> AB>;1FC !B>8<>ABL, @C1=0G5=85>;8G5AB2>_;0=>;8G5AB2>_;0=$>@<C;0>;8G5AB2>_;0==0G5=85!C<<0 ?> AB>;1FC 0@68=0;L=K9 4>E>4 2!C<<0 ?> AB>;1FC 0@68=0;L=K9 4>E>4 2$>@<C;0!C<<0 ?> AB>;1FC 0@68=0;L=K9 4>E>4 2=0G5=85!C<<0 ?> AB>;1FC !515AB>8<>ABL!C<<0 ?> AB>;1FC !515AB>8<>ABL$>@<C;0!C<<0 ?> AB>;1FC !515AB>8<>ABL=0G5=85$0:B ?@>406 ">20@=>9 3@C??K1 70 023CAB:>;-2>$0:B ?@>406 ">20@=>9 3@C??K1 70 023CAB:>;-2>$>@<C;0$0:B ?@>406 ">20@=>9 3@C??K1 70 023CAB:>;-2>=0G5=852K?>;=5=8O ?;0=0 ?@>406 (:>;-2>2K?>;=5=8O ?;0=0 ?@>406 (:>;-2>$>@<C;02K?>;=5=8O ?;0=0 ?@>406 (:>;-2>=0G5=85K@CG:0K@CG:0$>@<C;0K@CG:0=0G5=850;>20O <0@68=0;L=0O ?@81K;L0;>20O <0@68=0;L=0O ?@81K;L$>@<C;00;>20O <0@68=0;L=0O ?@81K;L=0G5=85C@AA@54=55C@AA@54=55$>@<C;0C@AA@54=55=0G5=85K@CG:0_@C1K@CG:0_@C1$>@<C;0K@CG:0_@C1=0G5=85C@AC@A$>@<C;0C@A=0G5=85C@AC@A$>@<C;0C@A=0G5=85@5=41_$@5=41_$$>@<C;0@5=41_$=0G5=85@5=42_$@5=42_$$>@<C;0@5=42_$=0G5=85@5=41_@5=41_$>@<C;0@5=41_=0G5=85@5=42_@5=42_$>@<C;0@5=42_=0G5=852K?>;=5=8O ;0=0_@5=42K?>;=5=8O ;0=0_@5=4$>@<C;02K?>;=5=8O ;0=0_@5=4=0G5=852K?>;=5=8O ;0=0_@5=42K?>;=5=8O ;0=0_@5=4$>@<C;02K?>;=5=8O ;0=0_@5=4=0G5=852K?>;=5=8O _$2K?>;=5=8O _$$>@<C;02K?>;=5=8O _$=0G5=85">20@=0O 3@C??0@5=40B0>;8G5AB2>_;0=>;8G5AB2>_$0:B!C<<0 ?@>4068 2!B>8<>ABL, @C1!515AB>8<>ABL0@68=0;L=K9 4>E>4 2&5=0 ?@>4068 2!B@C:BC@0 ?@>406 ?> @5=40<!@54=89 :C@A ?@>4060B0 (5AOF0B0 (=45:A <5AOF00B0 (5AOF!C<<0 ?> AB>;1FC !B@C:BC@0 ?@>406 ?> @5=40<!B@C:BC@0 ?@>406 ?> @5=40<!C<<0 ?> AB>;1FC !B@C:BC@0 ?@>406 ?> @5=40<!B@C:BC@0 ?@>406 ?> @5=40<!C<<0 ?> AB>;1FC !B@C:BC@0 ?@>406 ?> @5=40<!B@C:BC@0 ?@>406 ?> @5=40<'8A;> M;5<5=B>2 2 AB>;1F5 !B@C:BC@0 ?@>406 ?> @5=40<!B@C:BC@0 ?@>406 ?> @5=40<'8A;> M;5<5=B>2 2 AB>;1F5 !B@C:BC@0 ?@>406 ?> @5=40<!B@C:BC@0 ?@>406 ?> @5=40<'8A;> M;5<5=B>2 2 AB>;1F5 !B@C:BC@0 ?@>406 ?> @5=40<!B@C:BC@0 ?@>406 ?> @5=40<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_$0:B>;8G5AB2>_$0:B!C<<0 ?> AB>;1FC !B>8<>ABL, @C1!B>8<>ABL, @C1!C<<0 ?> AB>;1FC !B>8<>ABL, @C1!B>8<>ABL, @C1!C<<0 ?> AB>;1FC !B>8<>ABL, @C1!B>8<>ABL, @C1>;8G5AB2>_;0=>;8G5AB2>_;0=>;8G5AB2>_;0=>;8G5AB2>_;0=>;8G5AB2>_;0=>;8G5AB2>_;0=!C<<0 ?> AB>;1FC 0@68=0;L=K9 4>E>4 20@68=0;L=K9 4>E>4 2!C<<0 ?> AB>;1FC 0@68=0;L=K9 4>E>4 20@68=0;L=K9 4>E>4 2!C<<0 ?> AB>;1FC 0@68=0;L=K9 4>E>4 20@68=0;L=K9 4>E>4 2!C<<0 ?> AB>;1FC !515AB>8<>ABL!515AB>8<>ABL!C<<0 ?> AB>;1FC !515AB>8<>ABL!515AB>8<>ABL!C<<0 ?> AB>;1FC !515AB>8<>ABL!515AB>8<>ABL
</file>

<file path=customXml/item20.xml>��?;0=_?@>406?;0=_?@>406">20@=0O 3@C??0@5=40B0>;8G5AB2>A?@02>G=8: 1@5=4>2A?@02>G=8: 1@5=4>2@5=4?;0= ?@>406?;0= ?@>406">20@=0O 3@C??00B0@5=4@5=4D0:B ?@>406D0:B ?@>406">20@=0O 3@C??0@5=40B0>;8G5AB2>!C<<0 ?@>4068 2!B>8<>ABL, @C1!515AB>8<>ABL0@68=0;L=K9 4>E>4 2&5=0 ?@>4068 2D0:B_?@>406D0:B_?@>406">20@=0O 3@C??0@5=40B0>;8G5AB2>_;0=>;8G5AB2>_$0:B!C<<0 ?@>4068 2!B>8<>ABL, @C1!515AB>8<>ABL0@68=0;L=K9 4>E>4 2&5=0 ?@>4068 2!B@C:BC@0 ?@>406 ?> @5=40<!@54=89 :C@A ?@>4060B0 (5AOF0B0 (=45:A <5AOF00B0 (5AOF
</file>

<file path=customXml/item21.xml>��$0:B ?@>406 ">20@=>9 3@C??K1 70 023CAB:>;-2>$0:B ?@>406 ">20@=>9 3@C??K1 70 023CAB:>;-2>2K?>;=5=8O ?;0=0 ?@>406 (:>;-2>2K?>;=5=8O ?;0=0 ?@>406 (:>;-2>K@CG:0K@CG:00;>20O <0@68=0;L=0O ?@81K;L0;>20O <0@68=0;L=0O ?@81K;LC@AA@54=55C@AA@54=55K@CG:0_@C1K@CG:0_@C1C@AC@AC@AC@A@5=41_$@5=41_$@5=42_$@5=42_$@5=41_@5=41_@5=42_@5=42_2K?>;=5=8O ;0=0_@5=42K?>;=5=8O ;0=0_@5=42K?>;=5=8O ;0=0_@5=42K?>;=5=8O ;0=0_@5=42K?>;=5=8O _$2K?>;=5=8O _$
</file>

<file path=customXml/item22.xml>��$0:B ?@>406 ">20@=>9 3@C??K1 70 023CAB:>;-2>$0:B ?@>406 ">20@=>9 3@C??K1 70 023CAB:>;-2>2K?>;=5=8O ?;0=0 ?@>406 (:>;-2>2K?>;=5=8O ?;0=0 ?@>406 (:>;-2>K@CG:0K@CG:00;>20O <0@68=0;L=0O ?@81K;L0;>20O <0@68=0;L=0O ?@81K;LC@AA@54=55C@AA@54=55K@CG:0_@C1K@CG:0_@C1C@AC@AC@AC@A@5=41_$@5=41_$@5=42_$@5=42_$@5=41_@5=41_@5=42_@5=42_2K?>;=5=8O ;0=0_@5=42K?>;=5=8O ;0=0_@5=42K?>;=5=8O ;0=0_@5=42K?>;=5=8O ;0=0_@5=42K?>;=5=8O _$2K?>;=5=8O _$
</file>

<file path=customXml/item23.xml>��$0:B ?@>406 ">20@=>9 3@C??K1 70 023CAB:>;-2>$0:B ?@>406 ">20@=>9 3@C??K1 70 023CAB:>;-2>2K?>;=5=8O ?;0=0 ?@>406 (:>;-2>2K?>;=5=8O ?;0=0 ?@>406 (:>;-2>K@CG:0K@CG:00;>20O <0@68=0;L=0O ?@81K;L0;>20O <0@68=0;L=0O ?@81K;LC@AA@54=55C@AA@54=55K@CG:0_@C1K@CG:0_@C1C@AC@AC@AC@A@5=41_$@5=41_$@5=42_$@5=42_$@5=41_@5=41_@5=42_@5=42_2K?>;=5=8O ;0=0_@5=42K?>;=5=8O ;0=0_@5=42K?>;=5=8O ;0=0_@5=42K?>;=5=8O ;0=0_@5=42K?>;=5=8O _$2K?>;=5=8O _$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7568DADA-882C-4674-94A3-48E1893082CD}">
  <ds:schemaRefs/>
</ds:datastoreItem>
</file>

<file path=customXml/itemProps2.xml><?xml version="1.0" encoding="utf-8"?>
<ds:datastoreItem xmlns:ds="http://schemas.openxmlformats.org/officeDocument/2006/customXml" ds:itemID="{C02C733D-ADBB-430A-A790-6C118F4D2B2E}">
  <ds:schemaRefs/>
</ds:datastoreItem>
</file>

<file path=customXml/itemProps3.xml><?xml version="1.0" encoding="utf-8"?>
<ds:datastoreItem xmlns:ds="http://schemas.openxmlformats.org/officeDocument/2006/customXml" ds:itemID="{2DC26DBD-E136-4D49-8FD0-74927C7FC003}">
  <ds:schemaRefs/>
</ds:datastoreItem>
</file>

<file path=customXml/itemProps4.xml><?xml version="1.0" encoding="utf-8"?>
<ds:datastoreItem xmlns:ds="http://schemas.openxmlformats.org/officeDocument/2006/customXml" ds:itemID="{14407EFE-23A5-4181-888D-D96867FD766A}">
  <ds:schemaRefs/>
</ds:datastoreItem>
</file>

<file path=customXml/itemProps5.xml><?xml version="1.0" encoding="utf-8"?>
<ds:datastoreItem xmlns:ds="http://schemas.openxmlformats.org/officeDocument/2006/customXml" ds:itemID="{A4A5A802-BFDD-4E39-BE84-0E6B17F74658}">
  <ds:schemaRefs/>
</ds:datastoreItem>
</file>

<file path=customXml/itemProps6.xml><?xml version="1.0" encoding="utf-8"?>
<ds:datastoreItem xmlns:ds="http://schemas.openxmlformats.org/officeDocument/2006/customXml" ds:itemID="{34BE12CC-0EC9-424A-971F-8EB545E5BA57}">
  <ds:schemaRefs/>
</ds:datastoreItem>
</file>

<file path=customXml/itemProps7.xml><?xml version="1.0" encoding="utf-8"?>
<ds:datastoreItem xmlns:ds="http://schemas.openxmlformats.org/officeDocument/2006/customXml" ds:itemID="{5D733471-E906-4075-A894-3E01DA7691A1}">
  <ds:schemaRefs/>
</ds:datastoreItem>
</file>

<file path=customXml/itemProps8.xml><?xml version="1.0" encoding="utf-8"?>
<ds:datastoreItem xmlns:ds="http://schemas.openxmlformats.org/officeDocument/2006/customXml" ds:itemID="{76B7A0D9-1795-4B58-BB84-9A8EDA2B8B25}">
  <ds:schemaRefs/>
</ds:datastoreItem>
</file>

<file path=customXml/itemProps9.xml><?xml version="1.0" encoding="utf-8"?>
<ds:datastoreItem xmlns:ds="http://schemas.openxmlformats.org/officeDocument/2006/customXml" ds:itemID="{598633F0-881F-4E23-A4C7-30D6DCD72072}">
  <ds:schemaRefs/>
</ds:datastoreItem>
</file>

<file path=customXml/itemProps10.xml><?xml version="1.0" encoding="utf-8"?>
<ds:datastoreItem xmlns:ds="http://schemas.openxmlformats.org/officeDocument/2006/customXml" ds:itemID="{CCC3AF71-9D09-4C9C-AF7F-F21F5F2ECB3B}">
  <ds:schemaRefs/>
</ds:datastoreItem>
</file>

<file path=customXml/itemProps11.xml><?xml version="1.0" encoding="utf-8"?>
<ds:datastoreItem xmlns:ds="http://schemas.openxmlformats.org/officeDocument/2006/customXml" ds:itemID="{2214AB6B-9CD2-4389-ADBE-B97321B2562E}">
  <ds:schemaRefs/>
</ds:datastoreItem>
</file>

<file path=customXml/itemProps12.xml><?xml version="1.0" encoding="utf-8"?>
<ds:datastoreItem xmlns:ds="http://schemas.openxmlformats.org/officeDocument/2006/customXml" ds:itemID="{AA08E075-854B-4927-84CC-6DDD31056110}">
  <ds:schemaRefs/>
</ds:datastoreItem>
</file>

<file path=customXml/itemProps13.xml><?xml version="1.0" encoding="utf-8"?>
<ds:datastoreItem xmlns:ds="http://schemas.openxmlformats.org/officeDocument/2006/customXml" ds:itemID="{27648F2E-8DE2-41D4-B535-56EED3B54F11}">
  <ds:schemaRefs/>
</ds:datastoreItem>
</file>

<file path=customXml/itemProps14.xml><?xml version="1.0" encoding="utf-8"?>
<ds:datastoreItem xmlns:ds="http://schemas.openxmlformats.org/officeDocument/2006/customXml" ds:itemID="{041A8AE8-DFEB-4123-BA40-5EA260DCCAF3}">
  <ds:schemaRefs/>
</ds:datastoreItem>
</file>

<file path=customXml/itemProps15.xml><?xml version="1.0" encoding="utf-8"?>
<ds:datastoreItem xmlns:ds="http://schemas.openxmlformats.org/officeDocument/2006/customXml" ds:itemID="{DF46F9FE-297A-4E82-97C5-82AD0AEDA40F}">
  <ds:schemaRefs/>
</ds:datastoreItem>
</file>

<file path=customXml/itemProps16.xml><?xml version="1.0" encoding="utf-8"?>
<ds:datastoreItem xmlns:ds="http://schemas.openxmlformats.org/officeDocument/2006/customXml" ds:itemID="{A576DC32-C362-45FC-8B20-B4E1B14DFD0E}">
  <ds:schemaRefs/>
</ds:datastoreItem>
</file>

<file path=customXml/itemProps17.xml><?xml version="1.0" encoding="utf-8"?>
<ds:datastoreItem xmlns:ds="http://schemas.openxmlformats.org/officeDocument/2006/customXml" ds:itemID="{BDD62C3C-7EFC-4396-8D7E-1A62F761513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BC3496CA-55E3-4EDD-9E48-3C5FC75C97F9}">
  <ds:schemaRefs/>
</ds:datastoreItem>
</file>

<file path=customXml/itemProps19.xml><?xml version="1.0" encoding="utf-8"?>
<ds:datastoreItem xmlns:ds="http://schemas.openxmlformats.org/officeDocument/2006/customXml" ds:itemID="{7CD075FF-7350-437D-9706-D4A3C26EA8AA}">
  <ds:schemaRefs/>
</ds:datastoreItem>
</file>

<file path=customXml/itemProps20.xml><?xml version="1.0" encoding="utf-8"?>
<ds:datastoreItem xmlns:ds="http://schemas.openxmlformats.org/officeDocument/2006/customXml" ds:itemID="{9242C8CB-34D3-4790-9F4A-E09C431C4856}">
  <ds:schemaRefs/>
</ds:datastoreItem>
</file>

<file path=customXml/itemProps21.xml><?xml version="1.0" encoding="utf-8"?>
<ds:datastoreItem xmlns:ds="http://schemas.openxmlformats.org/officeDocument/2006/customXml" ds:itemID="{F0C24049-419F-4DA4-9E35-E592D058E9BA}">
  <ds:schemaRefs/>
</ds:datastoreItem>
</file>

<file path=customXml/itemProps22.xml><?xml version="1.0" encoding="utf-8"?>
<ds:datastoreItem xmlns:ds="http://schemas.openxmlformats.org/officeDocument/2006/customXml" ds:itemID="{940254E5-2991-484C-BC93-D02EE2D6CC8D}">
  <ds:schemaRefs/>
</ds:datastoreItem>
</file>

<file path=customXml/itemProps23.xml><?xml version="1.0" encoding="utf-8"?>
<ds:datastoreItem xmlns:ds="http://schemas.openxmlformats.org/officeDocument/2006/customXml" ds:itemID="{A486AA72-6C0E-4FD0-8678-2F80D7822390}">
  <ds:schemaRefs/>
</ds:datastoreItem>
</file>

<file path=customXml/itemProps24.xml><?xml version="1.0" encoding="utf-8"?>
<ds:datastoreItem xmlns:ds="http://schemas.openxmlformats.org/officeDocument/2006/customXml" ds:itemID="{843759A3-A6AD-4C19-9EA4-07273BDC005E}">
  <ds:schemaRefs/>
</ds:datastoreItem>
</file>

<file path=customXml/itemProps25.xml><?xml version="1.0" encoding="utf-8"?>
<ds:datastoreItem xmlns:ds="http://schemas.openxmlformats.org/officeDocument/2006/customXml" ds:itemID="{DA1192B3-9DF7-455C-A783-129CA9C73CD4}">
  <ds:schemaRefs/>
</ds:datastoreItem>
</file>

<file path=customXml/itemProps26.xml><?xml version="1.0" encoding="utf-8"?>
<ds:datastoreItem xmlns:ds="http://schemas.openxmlformats.org/officeDocument/2006/customXml" ds:itemID="{F44CC7C7-091E-46BD-B459-D5B4E858DCDC}">
  <ds:schemaRefs/>
</ds:datastoreItem>
</file>

<file path=customXml/itemProps27.xml><?xml version="1.0" encoding="utf-8"?>
<ds:datastoreItem xmlns:ds="http://schemas.openxmlformats.org/officeDocument/2006/customXml" ds:itemID="{8C2A9523-A9CF-487C-AF30-D084589B6EDB}">
  <ds:schemaRefs/>
</ds:datastoreItem>
</file>

<file path=customXml/itemProps28.xml><?xml version="1.0" encoding="utf-8"?>
<ds:datastoreItem xmlns:ds="http://schemas.openxmlformats.org/officeDocument/2006/customXml" ds:itemID="{2296995E-AEAF-4019-8855-0A0EF916FB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плоская_сводная</vt:lpstr>
      <vt:lpstr>сводная_диаграмма_таблица</vt:lpstr>
      <vt:lpstr>Диаграмма_П_Ф</vt:lpstr>
      <vt:lpstr>сводная_таблица</vt:lpstr>
      <vt:lpstr>план продаж</vt:lpstr>
      <vt:lpstr>факт продаж</vt:lpstr>
      <vt:lpstr>справочник брендов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Шишкова</dc:creator>
  <cp:lastModifiedBy>Наталья Шишкова</cp:lastModifiedBy>
  <cp:lastPrinted>2025-11-06T20:45:41Z</cp:lastPrinted>
  <dcterms:created xsi:type="dcterms:W3CDTF">2025-11-06T11:52:31Z</dcterms:created>
  <dcterms:modified xsi:type="dcterms:W3CDTF">2025-11-07T16:12:10Z</dcterms:modified>
</cp:coreProperties>
</file>